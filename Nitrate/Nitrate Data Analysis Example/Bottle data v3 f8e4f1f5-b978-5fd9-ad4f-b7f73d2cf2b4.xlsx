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anwalsh/Desktop/IDW Consulting f/OOI BGC WG f/OOI BGC Nitrate workbooks f/"/>
    </mc:Choice>
  </mc:AlternateContent>
  <xr:revisionPtr revIDLastSave="0" documentId="8_{E3579BB3-95B9-174D-A820-B62F3294B677}" xr6:coauthVersionLast="46" xr6:coauthVersionMax="46" xr10:uidLastSave="{00000000-0000-0000-0000-000000000000}"/>
  <bookViews>
    <workbookView xWindow="5600" yWindow="500" windowWidth="35200" windowHeight="19440" activeTab="1" xr2:uid="{00000000-000D-0000-FFFF-FFFF00000000}"/>
  </bookViews>
  <sheets>
    <sheet name="f8e4f1f5-b978-5fd9-ad4f-b7f73d2" sheetId="1" r:id="rId1"/>
    <sheet name="Aug 11 data" sheetId="2" r:id="rId2"/>
    <sheet name="Sheet2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3" l="1"/>
  <c r="E10" i="3"/>
  <c r="E9" i="3"/>
  <c r="E8" i="3"/>
  <c r="E7" i="3"/>
  <c r="E6" i="3"/>
  <c r="E5" i="3"/>
  <c r="E4" i="3"/>
  <c r="E3" i="3"/>
  <c r="E2" i="3"/>
  <c r="Q29" i="2"/>
  <c r="Q30" i="2"/>
  <c r="Q31" i="2"/>
  <c r="Q32" i="2"/>
  <c r="Q33" i="2"/>
  <c r="Q34" i="2"/>
  <c r="Q35" i="2"/>
  <c r="Q36" i="2"/>
  <c r="Q37" i="2"/>
  <c r="Q28" i="2"/>
</calcChain>
</file>

<file path=xl/sharedStrings.xml><?xml version="1.0" encoding="utf-8"?>
<sst xmlns="http://schemas.openxmlformats.org/spreadsheetml/2006/main" count="786" uniqueCount="226">
  <si>
    <t>FID</t>
  </si>
  <si>
    <t>time</t>
  </si>
  <si>
    <t>profile</t>
  </si>
  <si>
    <t>depth</t>
  </si>
  <si>
    <t>segment</t>
  </si>
  <si>
    <t>distance</t>
  </si>
  <si>
    <t>start_latitude</t>
  </si>
  <si>
    <t>start_longitude</t>
  </si>
  <si>
    <t>start_time</t>
  </si>
  <si>
    <t>bottom_depth</t>
  </si>
  <si>
    <t>ctd_bottle_closure_time</t>
  </si>
  <si>
    <t>ctd_pressure</t>
  </si>
  <si>
    <t>ctd_depth</t>
  </si>
  <si>
    <t>ctd_latitude</t>
  </si>
  <si>
    <t>ctd_longitude</t>
  </si>
  <si>
    <t>ctd_temperature_1</t>
  </si>
  <si>
    <t>ctd_temperature_2</t>
  </si>
  <si>
    <t>ctd_conductivity_1</t>
  </si>
  <si>
    <t>ctd_conductivity_2</t>
  </si>
  <si>
    <t>ctd_salinity_1</t>
  </si>
  <si>
    <t>ctd_salinity_2</t>
  </si>
  <si>
    <t>ctd_oxygen</t>
  </si>
  <si>
    <t>ctd_oxygen_saturation</t>
  </si>
  <si>
    <t>ctd_fluorescence</t>
  </si>
  <si>
    <t>ctd_beam_attenuation</t>
  </si>
  <si>
    <t>ctd_beam_transmission</t>
  </si>
  <si>
    <t>ctd_ph</t>
  </si>
  <si>
    <t>discrete_oxygen</t>
  </si>
  <si>
    <t>discrete_chlorophyll</t>
  </si>
  <si>
    <t>discrete_phaeopigment</t>
  </si>
  <si>
    <t>discrete_fofa_ratio</t>
  </si>
  <si>
    <t>discrete_phosphate</t>
  </si>
  <si>
    <t>discrete_silicate</t>
  </si>
  <si>
    <t>discrete_nitrate</t>
  </si>
  <si>
    <t>discrete_nitrite</t>
  </si>
  <si>
    <t>discrete_ammonium</t>
  </si>
  <si>
    <t>discrete_salinity</t>
  </si>
  <si>
    <t>geom</t>
  </si>
  <si>
    <t>source</t>
  </si>
  <si>
    <t>source_id</t>
  </si>
  <si>
    <t>f8e4f1f5-b978-5fd9-ad4f-b7f73d2cf2b4.1</t>
  </si>
  <si>
    <t>2020-08-03T15:17:41</t>
  </si>
  <si>
    <t>2020-08-03T18:15:05</t>
  </si>
  <si>
    <t>POINT (-125.3785 44.5375)</t>
  </si>
  <si>
    <t>ooi.ocdi.ocdi</t>
  </si>
  <si>
    <t>Cabled-11_TN382_Discrete_Summary</t>
  </si>
  <si>
    <t>f8e4f1f5-b978-5fd9-ad4f-b7f73d2cf2b4.2</t>
  </si>
  <si>
    <t>2020-08-03T16:57:05</t>
  </si>
  <si>
    <t>f8e4f1f5-b978-5fd9-ad4f-b7f73d2cf2b4.3</t>
  </si>
  <si>
    <t>2020-08-03T17:45:21</t>
  </si>
  <si>
    <t>f8e4f1f5-b978-5fd9-ad4f-b7f73d2cf2b4.4</t>
  </si>
  <si>
    <t>2020-08-03T17:54:34</t>
  </si>
  <si>
    <t>f8e4f1f5-b978-5fd9-ad4f-b7f73d2cf2b4.5</t>
  </si>
  <si>
    <t>2020-08-03T17:58:16</t>
  </si>
  <si>
    <t>f8e4f1f5-b978-5fd9-ad4f-b7f73d2cf2b4.6</t>
  </si>
  <si>
    <t>2020-08-03T17:26:16</t>
  </si>
  <si>
    <t>f8e4f1f5-b978-5fd9-ad4f-b7f73d2cf2b4.7</t>
  </si>
  <si>
    <t>2020-08-03T18:07:34</t>
  </si>
  <si>
    <t>f8e4f1f5-b978-5fd9-ad4f-b7f73d2cf2b4.8</t>
  </si>
  <si>
    <t>2020-08-03T18:10:46</t>
  </si>
  <si>
    <t>f8e4f1f5-b978-5fd9-ad4f-b7f73d2cf2b4.9</t>
  </si>
  <si>
    <t>2020-08-03T18:12:55</t>
  </si>
  <si>
    <t>f8e4f1f5-b978-5fd9-ad4f-b7f73d2cf2b4.10</t>
  </si>
  <si>
    <t>2020-08-03T18:01:38</t>
  </si>
  <si>
    <t>f8e4f1f5-b978-5fd9-ad4f-b7f73d2cf2b4.11</t>
  </si>
  <si>
    <t>2020-08-08T21:27:56</t>
  </si>
  <si>
    <t>POINT (-129.7395 45.83066667)</t>
  </si>
  <si>
    <t>f8e4f1f5-b978-5fd9-ad4f-b7f73d2cf2b4.12</t>
  </si>
  <si>
    <t>2020-08-08T21:53:32</t>
  </si>
  <si>
    <t>2020-08-08T22:15:26</t>
  </si>
  <si>
    <t>f8e4f1f5-b978-5fd9-ad4f-b7f73d2cf2b4.13</t>
  </si>
  <si>
    <t>2020-08-08T22:04:58</t>
  </si>
  <si>
    <t>f8e4f1f5-b978-5fd9-ad4f-b7f73d2cf2b4.14</t>
  </si>
  <si>
    <t>2020-08-08T22:09:10</t>
  </si>
  <si>
    <t>f8e4f1f5-b978-5fd9-ad4f-b7f73d2cf2b4.15</t>
  </si>
  <si>
    <t>2020-08-08T22:11:12</t>
  </si>
  <si>
    <t>f8e4f1f5-b978-5fd9-ad4f-b7f73d2cf2b4.16</t>
  </si>
  <si>
    <t>f8e4f1f5-b978-5fd9-ad4f-b7f73d2cf2b4.17</t>
  </si>
  <si>
    <t>2020-08-08T22:17:29</t>
  </si>
  <si>
    <t>f8e4f1f5-b978-5fd9-ad4f-b7f73d2cf2b4.18</t>
  </si>
  <si>
    <t>2020-08-08T22:07:06</t>
  </si>
  <si>
    <t>f8e4f1f5-b978-5fd9-ad4f-b7f73d2cf2b4.19</t>
  </si>
  <si>
    <t>2020-08-08T22:20:58</t>
  </si>
  <si>
    <t>f8e4f1f5-b978-5fd9-ad4f-b7f73d2cf2b4.20</t>
  </si>
  <si>
    <t>f8e4f1f5-b978-5fd9-ad4f-b7f73d2cf2b4.21</t>
  </si>
  <si>
    <t>2020-08-08T22:22:56</t>
  </si>
  <si>
    <t>f8e4f1f5-b978-5fd9-ad4f-b7f73d2cf2b4.22</t>
  </si>
  <si>
    <t>2020-08-08T22:24:53</t>
  </si>
  <si>
    <t>f8e4f1f5-b978-5fd9-ad4f-b7f73d2cf2b4.23</t>
  </si>
  <si>
    <t>f8e4f1f5-b978-5fd9-ad4f-b7f73d2cf2b4.24</t>
  </si>
  <si>
    <t>2020-08-08T22:26:34</t>
  </si>
  <si>
    <t>f8e4f1f5-b978-5fd9-ad4f-b7f73d2cf2b4.25</t>
  </si>
  <si>
    <t>2020-08-08T22:19:15</t>
  </si>
  <si>
    <t>f8e4f1f5-b978-5fd9-ad4f-b7f73d2cf2b4.26</t>
  </si>
  <si>
    <t>2020-08-08T23:36:18</t>
  </si>
  <si>
    <t>2020-08-09T01:12:07</t>
  </si>
  <si>
    <t>f8e4f1f5-b978-5fd9-ad4f-b7f73d2cf2b4.27</t>
  </si>
  <si>
    <t>2020-08-09T01:22:17</t>
  </si>
  <si>
    <t>f8e4f1f5-b978-5fd9-ad4f-b7f73d2cf2b4.28</t>
  </si>
  <si>
    <t>2020-08-09T01:37:21</t>
  </si>
  <si>
    <t>f8e4f1f5-b978-5fd9-ad4f-b7f73d2cf2b4.29</t>
  </si>
  <si>
    <t>2020-08-09T01:55:53</t>
  </si>
  <si>
    <t>f8e4f1f5-b978-5fd9-ad4f-b7f73d2cf2b4.30</t>
  </si>
  <si>
    <t>2020-08-09T02:14:24</t>
  </si>
  <si>
    <t>f8e4f1f5-b978-5fd9-ad4f-b7f73d2cf2b4.31</t>
  </si>
  <si>
    <t>2020-08-09T02:34:34</t>
  </si>
  <si>
    <t>f8e4f1f5-b978-5fd9-ad4f-b7f73d2cf2b4.32</t>
  </si>
  <si>
    <t>2020-08-09T02:24:47</t>
  </si>
  <si>
    <t>f8e4f1f5-b978-5fd9-ad4f-b7f73d2cf2b4.33</t>
  </si>
  <si>
    <t>2020-08-09T02:46:44</t>
  </si>
  <si>
    <t>f8e4f1f5-b978-5fd9-ad4f-b7f73d2cf2b4.34</t>
  </si>
  <si>
    <t>2020-08-09T02:51:47</t>
  </si>
  <si>
    <t>f8e4f1f5-b978-5fd9-ad4f-b7f73d2cf2b4.35</t>
  </si>
  <si>
    <t>2020-08-09T02:54:13</t>
  </si>
  <si>
    <t>f8e4f1f5-b978-5fd9-ad4f-b7f73d2cf2b4.36</t>
  </si>
  <si>
    <t>2020-08-09T02:57:03</t>
  </si>
  <si>
    <t>f8e4f1f5-b978-5fd9-ad4f-b7f73d2cf2b4.37</t>
  </si>
  <si>
    <t>2020-08-09T03:00:13</t>
  </si>
  <si>
    <t>f8e4f1f5-b978-5fd9-ad4f-b7f73d2cf2b4.38</t>
  </si>
  <si>
    <t>2020-08-09T02:34:50</t>
  </si>
  <si>
    <t>f8e4f1f5-b978-5fd9-ad4f-b7f73d2cf2b4.39</t>
  </si>
  <si>
    <t>2020-08-09T23:05:44.686</t>
  </si>
  <si>
    <t>2020-08-09T23:05:49.686</t>
  </si>
  <si>
    <t>POINT (-129.9790234 45.92639848)</t>
  </si>
  <si>
    <t>f8e4f1f5-b978-5fd9-ad4f-b7f73d2cf2b4.40</t>
  </si>
  <si>
    <t>2020-08-11T04:00:14</t>
  </si>
  <si>
    <t>POINT (-125.3801667 44.53583333)</t>
  </si>
  <si>
    <t>f8e4f1f5-b978-5fd9-ad4f-b7f73d2cf2b4.41</t>
  </si>
  <si>
    <t>2020-08-11T04:28:22</t>
  </si>
  <si>
    <t>2020-08-11T04:52:52</t>
  </si>
  <si>
    <t>POINT (-125.3803333 44.53583333)</t>
  </si>
  <si>
    <t>f8e4f1f5-b978-5fd9-ad4f-b7f73d2cf2b4.42</t>
  </si>
  <si>
    <t>2020-08-11T04:41:47</t>
  </si>
  <si>
    <t>f8e4f1f5-b978-5fd9-ad4f-b7f73d2cf2b4.43</t>
  </si>
  <si>
    <t>2020-08-11T04:44:07</t>
  </si>
  <si>
    <t>f8e4f1f5-b978-5fd9-ad4f-b7f73d2cf2b4.44</t>
  </si>
  <si>
    <t>2020-08-11T04:45:56</t>
  </si>
  <si>
    <t>f8e4f1f5-b978-5fd9-ad4f-b7f73d2cf2b4.45</t>
  </si>
  <si>
    <t>2020-08-11T04:48:13</t>
  </si>
  <si>
    <t>f8e4f1f5-b978-5fd9-ad4f-b7f73d2cf2b4.46</t>
  </si>
  <si>
    <t>2020-08-11T04:50:52</t>
  </si>
  <si>
    <t>f8e4f1f5-b978-5fd9-ad4f-b7f73d2cf2b4.47</t>
  </si>
  <si>
    <t>2020-08-11T04:53:07</t>
  </si>
  <si>
    <t>f8e4f1f5-b978-5fd9-ad4f-b7f73d2cf2b4.48</t>
  </si>
  <si>
    <t>2020-08-11T05:01:32</t>
  </si>
  <si>
    <t>f8e4f1f5-b978-5fd9-ad4f-b7f73d2cf2b4.49</t>
  </si>
  <si>
    <t>2020-08-11T04:57:22</t>
  </si>
  <si>
    <t>f8e4f1f5-b978-5fd9-ad4f-b7f73d2cf2b4.50</t>
  </si>
  <si>
    <t>2020-08-11T05:03:16</t>
  </si>
  <si>
    <t>f8e4f1f5-b978-5fd9-ad4f-b7f73d2cf2b4.51</t>
  </si>
  <si>
    <t>2020-08-11T05:03:33</t>
  </si>
  <si>
    <t>f8e4f1f5-b978-5fd9-ad4f-b7f73d2cf2b4.52</t>
  </si>
  <si>
    <t>2020-08-11T04:55:22</t>
  </si>
  <si>
    <t>f8e4f1f5-b978-5fd9-ad4f-b7f73d2cf2b4.53</t>
  </si>
  <si>
    <t>2020-08-11T04:59:11</t>
  </si>
  <si>
    <t>f8e4f1f5-b978-5fd9-ad4f-b7f73d2cf2b4.54</t>
  </si>
  <si>
    <t>2020-08-11T04:59:27</t>
  </si>
  <si>
    <t>f8e4f1f5-b978-5fd9-ad4f-b7f73d2cf2b4.55</t>
  </si>
  <si>
    <t>2020-08-11T05:05:11</t>
  </si>
  <si>
    <t>f8e4f1f5-b978-5fd9-ad4f-b7f73d2cf2b4.56</t>
  </si>
  <si>
    <t>2020-08-11T05:48:08</t>
  </si>
  <si>
    <t>2020-08-11T08:48:56</t>
  </si>
  <si>
    <t>f8e4f1f5-b978-5fd9-ad4f-b7f73d2cf2b4.57</t>
  </si>
  <si>
    <t>2020-08-11T08:27:38</t>
  </si>
  <si>
    <t>f8e4f1f5-b978-5fd9-ad4f-b7f73d2cf2b4.58</t>
  </si>
  <si>
    <t>2020-08-11T07:59:21</t>
  </si>
  <si>
    <t>f8e4f1f5-b978-5fd9-ad4f-b7f73d2cf2b4.59</t>
  </si>
  <si>
    <t>2020-08-11T07:45:27</t>
  </si>
  <si>
    <t>f8e4f1f5-b978-5fd9-ad4f-b7f73d2cf2b4.60</t>
  </si>
  <si>
    <t>2020-08-11T23:18:01</t>
  </si>
  <si>
    <t>POINT (-124.9625 44.37416667)</t>
  </si>
  <si>
    <t>f8e4f1f5-b978-5fd9-ad4f-b7f73d2cf2b4.61</t>
  </si>
  <si>
    <t>2020-08-11T23:39:18</t>
  </si>
  <si>
    <t>2020-08-12T00:00:33</t>
  </si>
  <si>
    <t>f8e4f1f5-b978-5fd9-ad4f-b7f73d2cf2b4.62</t>
  </si>
  <si>
    <t>2020-08-11T23:48:36</t>
  </si>
  <si>
    <t>f8e4f1f5-b978-5fd9-ad4f-b7f73d2cf2b4.63</t>
  </si>
  <si>
    <t>2020-08-11T23:51:32</t>
  </si>
  <si>
    <t>f8e4f1f5-b978-5fd9-ad4f-b7f73d2cf2b4.64</t>
  </si>
  <si>
    <t>2020-08-11T23:53:52</t>
  </si>
  <si>
    <t>f8e4f1f5-b978-5fd9-ad4f-b7f73d2cf2b4.65</t>
  </si>
  <si>
    <t>2020-08-11T23:58:07</t>
  </si>
  <si>
    <t>f8e4f1f5-b978-5fd9-ad4f-b7f73d2cf2b4.66</t>
  </si>
  <si>
    <t>2020-08-11T23:57:50</t>
  </si>
  <si>
    <t>f8e4f1f5-b978-5fd9-ad4f-b7f73d2cf2b4.67</t>
  </si>
  <si>
    <t>2020-08-12T00:00:19</t>
  </si>
  <si>
    <t>f8e4f1f5-b978-5fd9-ad4f-b7f73d2cf2b4.68</t>
  </si>
  <si>
    <t>2020-08-12T00:03:01</t>
  </si>
  <si>
    <t>f8e4f1f5-b978-5fd9-ad4f-b7f73d2cf2b4.69</t>
  </si>
  <si>
    <t>2020-08-12T00:07:21</t>
  </si>
  <si>
    <t>f8e4f1f5-b978-5fd9-ad4f-b7f73d2cf2b4.70</t>
  </si>
  <si>
    <t>2020-08-12T00:07:01</t>
  </si>
  <si>
    <t>f8e4f1f5-b978-5fd9-ad4f-b7f73d2cf2b4.71</t>
  </si>
  <si>
    <t>2020-08-12T00:09:42</t>
  </si>
  <si>
    <t>f8e4f1f5-b978-5fd9-ad4f-b7f73d2cf2b4.72</t>
  </si>
  <si>
    <t>2020-08-12T00:11:37</t>
  </si>
  <si>
    <t>f8e4f1f5-b978-5fd9-ad4f-b7f73d2cf2b4.73</t>
  </si>
  <si>
    <t>2020-08-12T00:11:52</t>
  </si>
  <si>
    <t>f8e4f1f5-b978-5fd9-ad4f-b7f73d2cf2b4.74</t>
  </si>
  <si>
    <t>2020-08-12T00:14:57</t>
  </si>
  <si>
    <t>f8e4f1f5-b978-5fd9-ad4f-b7f73d2cf2b4.75</t>
  </si>
  <si>
    <t>2020-08-12T00:05:06</t>
  </si>
  <si>
    <t>f8e4f1f5-b978-5fd9-ad4f-b7f73d2cf2b4.76</t>
  </si>
  <si>
    <t>2020-08-12T00:49:20</t>
  </si>
  <si>
    <t>2020-08-12T01:16:31</t>
  </si>
  <si>
    <t>f8e4f1f5-b978-5fd9-ad4f-b7f73d2cf2b4.77</t>
  </si>
  <si>
    <t>2020-08-12T01:18:46</t>
  </si>
  <si>
    <t>f8e4f1f5-b978-5fd9-ad4f-b7f73d2cf2b4.78</t>
  </si>
  <si>
    <t>2020-08-12T01:21:57</t>
  </si>
  <si>
    <t>f8e4f1f5-b978-5fd9-ad4f-b7f73d2cf2b4.79</t>
  </si>
  <si>
    <t>2020-08-12T01:30:20</t>
  </si>
  <si>
    <t>f8e4f1f5-b978-5fd9-ad4f-b7f73d2cf2b4.80</t>
  </si>
  <si>
    <t>2020-08-12T01:27:02</t>
  </si>
  <si>
    <t>f8e4f1f5-b978-5fd9-ad4f-b7f73d2cf2b4.81</t>
  </si>
  <si>
    <t>2020-08-13T05:33:00.893</t>
  </si>
  <si>
    <t>2020-08-13T06:03:15.8</t>
  </si>
  <si>
    <t>POINT (-124.3058499 44.63723014)</t>
  </si>
  <si>
    <t>f8e4f1f5-b978-5fd9-ad4f-b7f73d2cf2b4.82</t>
  </si>
  <si>
    <t>2020-08-13T05:38:00.893</t>
  </si>
  <si>
    <t>POINT (-124.3057942 44.63718268)</t>
  </si>
  <si>
    <t>f8e4f1f5-b978-5fd9-ad4f-b7f73d2cf2b4.83</t>
  </si>
  <si>
    <t>f8e4f1f5-b978-5fd9-ad4f-b7f73d2cf2b4.84</t>
  </si>
  <si>
    <t>f8e4f1f5-b978-5fd9-ad4f-b7f73d2cf2b4.85</t>
  </si>
  <si>
    <t>2020-08-20T20:52:49</t>
  </si>
  <si>
    <t>POINT (-125.1466667 44.57133333)</t>
  </si>
  <si>
    <t>NO3+NO2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</si>
</sst>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'Aug 11 data'!$M$1</c:f>
              <c:strCache>
                <c:ptCount val="1"/>
                <c:pt idx="0">
                  <c:v>ctd_depth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'Aug 11 data'!$AH$2:$AH$11</c:f>
              <c:numCache>
                <c:formatCode>General</c:formatCode>
                <c:ptCount val="10"/>
                <c:pt idx="0">
                  <c:v>3.0165109999999999</c:v>
                </c:pt>
                <c:pt idx="1">
                  <c:v>11.696032000000001</c:v>
                </c:pt>
                <c:pt idx="2">
                  <c:v>21.101773999999999</c:v>
                </c:pt>
                <c:pt idx="3">
                  <c:v>26.163153999999999</c:v>
                </c:pt>
                <c:pt idx="4">
                  <c:v>30.881086</c:v>
                </c:pt>
                <c:pt idx="5">
                  <c:v>31.181773</c:v>
                </c:pt>
                <c:pt idx="6">
                  <c:v>32.224145999999998</c:v>
                </c:pt>
                <c:pt idx="7">
                  <c:v>33.255805000000002</c:v>
                </c:pt>
                <c:pt idx="8">
                  <c:v>33.155071999999997</c:v>
                </c:pt>
                <c:pt idx="9">
                  <c:v>33.274607000000003</c:v>
                </c:pt>
              </c:numCache>
            </c:numRef>
          </c:xVal>
          <c:yVal>
            <c:numRef>
              <c:f>'Aug 11 data'!$M$2:$M$11</c:f>
              <c:numCache>
                <c:formatCode>General</c:formatCode>
                <c:ptCount val="10"/>
                <c:pt idx="0">
                  <c:v>9.6379999999999999</c:v>
                </c:pt>
                <c:pt idx="1">
                  <c:v>20.238</c:v>
                </c:pt>
                <c:pt idx="2">
                  <c:v>40.225999999999999</c:v>
                </c:pt>
                <c:pt idx="3">
                  <c:v>60.421999999999997</c:v>
                </c:pt>
                <c:pt idx="4">
                  <c:v>99.679000000000002</c:v>
                </c:pt>
                <c:pt idx="5">
                  <c:v>119.89100000000001</c:v>
                </c:pt>
                <c:pt idx="6">
                  <c:v>140.684</c:v>
                </c:pt>
                <c:pt idx="7">
                  <c:v>180.13900000000001</c:v>
                </c:pt>
                <c:pt idx="8">
                  <c:v>199.79499999999999</c:v>
                </c:pt>
                <c:pt idx="9">
                  <c:v>219.52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9EF-8149-9B89-7CFEA7DF2E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31644287"/>
        <c:axId val="542851344"/>
      </c:scatterChart>
      <c:valAx>
        <c:axId val="113164428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851344"/>
        <c:crosses val="autoZero"/>
        <c:crossBetween val="midCat"/>
      </c:valAx>
      <c:valAx>
        <c:axId val="542851344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1644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412750</xdr:colOff>
      <xdr:row>25</xdr:row>
      <xdr:rowOff>6</xdr:rowOff>
    </xdr:from>
    <xdr:to>
      <xdr:col>8</xdr:col>
      <xdr:colOff>31750</xdr:colOff>
      <xdr:row>38</xdr:row>
      <xdr:rowOff>101606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92E864-2422-3943-8025-FE7CB6BD6C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86"/>
  <sheetViews>
    <sheetView workbookViewId="0">
      <pane ySplit="1" topLeftCell="A5" activePane="bottomLeft" state="frozen"/>
      <selection pane="bottomLeft" activeCell="A62" sqref="A62:XFD76"/>
    </sheetView>
  </sheetViews>
  <sheetFormatPr baseColWidth="10" defaultRowHeight="16" x14ac:dyDescent="0.2"/>
  <cols>
    <col min="1" max="1" width="30.83203125" customWidth="1"/>
    <col min="2" max="2" width="24.5" customWidth="1"/>
    <col min="11" max="11" width="15.1640625" customWidth="1"/>
  </cols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 t="s">
        <v>40</v>
      </c>
      <c r="B2" t="s">
        <v>41</v>
      </c>
      <c r="C2">
        <v>0</v>
      </c>
      <c r="D2">
        <v>10.356</v>
      </c>
      <c r="E2">
        <v>0</v>
      </c>
      <c r="F2">
        <v>0</v>
      </c>
      <c r="G2">
        <v>44.537500000000001</v>
      </c>
      <c r="H2">
        <v>-125.3785</v>
      </c>
      <c r="I2" t="s">
        <v>41</v>
      </c>
      <c r="J2">
        <v>5000</v>
      </c>
      <c r="K2" t="s">
        <v>42</v>
      </c>
      <c r="L2">
        <v>10.44</v>
      </c>
      <c r="M2">
        <v>10.356</v>
      </c>
      <c r="N2">
        <v>44.537480000000002</v>
      </c>
      <c r="O2">
        <v>-125.37855999999999</v>
      </c>
      <c r="P2">
        <v>14.1694</v>
      </c>
      <c r="Q2">
        <v>14.206300000000001</v>
      </c>
      <c r="R2">
        <v>3.885443</v>
      </c>
      <c r="S2">
        <v>3.8897200000000001</v>
      </c>
      <c r="T2">
        <v>31.995999999999999</v>
      </c>
      <c r="U2">
        <v>32.0047</v>
      </c>
      <c r="V2">
        <v>297.03546599999999</v>
      </c>
      <c r="W2">
        <v>263.33756399999999</v>
      </c>
      <c r="X2">
        <v>0.31140000000000001</v>
      </c>
      <c r="Y2">
        <v>0.25219999999999998</v>
      </c>
      <c r="Z2">
        <v>93.890100000000004</v>
      </c>
      <c r="AB2">
        <v>282.54430100000002</v>
      </c>
      <c r="AF2">
        <v>0.37811699999999998</v>
      </c>
      <c r="AG2">
        <v>5.5858660000000002</v>
      </c>
      <c r="AH2">
        <v>0.05</v>
      </c>
      <c r="AI2">
        <v>0</v>
      </c>
      <c r="AJ2">
        <v>4.8999999999999998E-5</v>
      </c>
      <c r="AL2" t="s">
        <v>43</v>
      </c>
      <c r="AM2" t="s">
        <v>44</v>
      </c>
      <c r="AN2" t="s">
        <v>45</v>
      </c>
    </row>
    <row r="3" spans="1:40" x14ac:dyDescent="0.2">
      <c r="A3" t="s">
        <v>46</v>
      </c>
      <c r="B3" t="s">
        <v>41</v>
      </c>
      <c r="C3">
        <v>0</v>
      </c>
      <c r="D3">
        <v>1800.709961</v>
      </c>
      <c r="E3">
        <v>0</v>
      </c>
      <c r="F3">
        <v>0</v>
      </c>
      <c r="G3">
        <v>44.537500000000001</v>
      </c>
      <c r="H3">
        <v>-125.3785</v>
      </c>
      <c r="I3" t="s">
        <v>41</v>
      </c>
      <c r="J3">
        <v>5000</v>
      </c>
      <c r="K3" t="s">
        <v>47</v>
      </c>
      <c r="L3">
        <v>1823.2919999999999</v>
      </c>
      <c r="M3">
        <v>1800.71</v>
      </c>
      <c r="N3">
        <v>44.537480000000002</v>
      </c>
      <c r="O3">
        <v>-125.37857</v>
      </c>
      <c r="P3">
        <v>2.1936</v>
      </c>
      <c r="Q3">
        <v>2.1926999999999999</v>
      </c>
      <c r="R3">
        <v>3.139545</v>
      </c>
      <c r="S3">
        <v>3.14032</v>
      </c>
      <c r="T3">
        <v>34.572400000000002</v>
      </c>
      <c r="U3">
        <v>34.582900000000002</v>
      </c>
      <c r="V3">
        <v>52.841239000000002</v>
      </c>
      <c r="W3">
        <v>339.23789399999998</v>
      </c>
      <c r="X3">
        <v>-1.2E-2</v>
      </c>
      <c r="Y3">
        <v>6.2700000000000006E-2</v>
      </c>
      <c r="Z3">
        <v>98.443399999999997</v>
      </c>
      <c r="AK3">
        <v>34.573160000000001</v>
      </c>
      <c r="AL3" t="s">
        <v>43</v>
      </c>
      <c r="AM3" t="s">
        <v>44</v>
      </c>
      <c r="AN3" t="s">
        <v>45</v>
      </c>
    </row>
    <row r="4" spans="1:40" x14ac:dyDescent="0.2">
      <c r="A4" t="s">
        <v>48</v>
      </c>
      <c r="B4" t="s">
        <v>41</v>
      </c>
      <c r="C4">
        <v>0</v>
      </c>
      <c r="D4">
        <v>500.39099099999999</v>
      </c>
      <c r="E4">
        <v>0</v>
      </c>
      <c r="F4">
        <v>0</v>
      </c>
      <c r="G4">
        <v>44.537500000000001</v>
      </c>
      <c r="H4">
        <v>-125.3785</v>
      </c>
      <c r="I4" t="s">
        <v>41</v>
      </c>
      <c r="J4">
        <v>5000</v>
      </c>
      <c r="K4" t="s">
        <v>49</v>
      </c>
      <c r="L4">
        <v>505.08</v>
      </c>
      <c r="M4">
        <v>500.39100000000002</v>
      </c>
      <c r="N4">
        <v>44.537480000000002</v>
      </c>
      <c r="O4">
        <v>-125.37855999999999</v>
      </c>
      <c r="P4">
        <v>4.9366000000000003</v>
      </c>
      <c r="Q4">
        <v>4.9364999999999997</v>
      </c>
      <c r="R4">
        <v>3.2871700000000001</v>
      </c>
      <c r="S4">
        <v>3.2880440000000002</v>
      </c>
      <c r="T4">
        <v>34.127200000000002</v>
      </c>
      <c r="U4">
        <v>34.1374</v>
      </c>
      <c r="V4">
        <v>26.786828</v>
      </c>
      <c r="W4">
        <v>318.21706699999999</v>
      </c>
      <c r="X4">
        <v>-5.1000000000000004E-3</v>
      </c>
      <c r="Y4">
        <v>6.54E-2</v>
      </c>
      <c r="Z4">
        <v>98.376999999999995</v>
      </c>
      <c r="AK4">
        <v>34.129513000000003</v>
      </c>
      <c r="AL4" t="s">
        <v>43</v>
      </c>
      <c r="AM4" t="s">
        <v>44</v>
      </c>
      <c r="AN4" t="s">
        <v>45</v>
      </c>
    </row>
    <row r="5" spans="1:40" x14ac:dyDescent="0.2">
      <c r="A5" t="s">
        <v>50</v>
      </c>
      <c r="B5" t="s">
        <v>41</v>
      </c>
      <c r="C5">
        <v>0</v>
      </c>
      <c r="D5">
        <v>299.77200299999998</v>
      </c>
      <c r="E5">
        <v>0</v>
      </c>
      <c r="F5">
        <v>0</v>
      </c>
      <c r="G5">
        <v>44.537500000000001</v>
      </c>
      <c r="H5">
        <v>-125.3785</v>
      </c>
      <c r="I5" t="s">
        <v>41</v>
      </c>
      <c r="J5">
        <v>5000</v>
      </c>
      <c r="K5" t="s">
        <v>51</v>
      </c>
      <c r="L5">
        <v>302.43400000000003</v>
      </c>
      <c r="M5">
        <v>299.77199999999999</v>
      </c>
      <c r="N5">
        <v>44.537480000000002</v>
      </c>
      <c r="O5">
        <v>-125.37858</v>
      </c>
      <c r="P5">
        <v>6.2708000000000004</v>
      </c>
      <c r="Q5">
        <v>6.2706999999999997</v>
      </c>
      <c r="R5">
        <v>3.3844940000000001</v>
      </c>
      <c r="S5">
        <v>3.3854120000000001</v>
      </c>
      <c r="T5">
        <v>33.986499999999999</v>
      </c>
      <c r="U5">
        <v>33.9968</v>
      </c>
      <c r="V5">
        <v>76.278597000000005</v>
      </c>
      <c r="W5">
        <v>308.67107800000002</v>
      </c>
      <c r="X5">
        <v>-1.8599999999999998E-2</v>
      </c>
      <c r="Y5">
        <v>7.6200000000000004E-2</v>
      </c>
      <c r="Z5">
        <v>98.113399999999999</v>
      </c>
      <c r="AK5">
        <v>33.990189999999998</v>
      </c>
      <c r="AL5" t="s">
        <v>43</v>
      </c>
      <c r="AM5" t="s">
        <v>44</v>
      </c>
      <c r="AN5" t="s">
        <v>45</v>
      </c>
    </row>
    <row r="6" spans="1:40" x14ac:dyDescent="0.2">
      <c r="A6" t="s">
        <v>52</v>
      </c>
      <c r="B6" t="s">
        <v>41</v>
      </c>
      <c r="C6">
        <v>0</v>
      </c>
      <c r="D6">
        <v>250.17100500000001</v>
      </c>
      <c r="E6">
        <v>0</v>
      </c>
      <c r="F6">
        <v>0</v>
      </c>
      <c r="G6">
        <v>44.537500000000001</v>
      </c>
      <c r="H6">
        <v>-125.3785</v>
      </c>
      <c r="I6" t="s">
        <v>41</v>
      </c>
      <c r="J6">
        <v>5000</v>
      </c>
      <c r="K6" t="s">
        <v>53</v>
      </c>
      <c r="L6">
        <v>252.36199999999999</v>
      </c>
      <c r="M6">
        <v>250.17099999999999</v>
      </c>
      <c r="N6">
        <v>44.537489999999998</v>
      </c>
      <c r="O6">
        <v>-125.37858</v>
      </c>
      <c r="P6">
        <v>6.7196999999999996</v>
      </c>
      <c r="Q6">
        <v>6.7202999999999999</v>
      </c>
      <c r="R6">
        <v>3.420992</v>
      </c>
      <c r="S6">
        <v>3.4219040000000001</v>
      </c>
      <c r="T6">
        <v>33.970300000000002</v>
      </c>
      <c r="U6">
        <v>33.979700000000001</v>
      </c>
      <c r="V6">
        <v>92.248869999999997</v>
      </c>
      <c r="W6">
        <v>305.51275099999998</v>
      </c>
      <c r="X6">
        <v>-2.5000000000000001E-2</v>
      </c>
      <c r="Y6">
        <v>7.9699999999999993E-2</v>
      </c>
      <c r="Z6">
        <v>98.0274</v>
      </c>
      <c r="AK6">
        <v>33.973148000000002</v>
      </c>
      <c r="AL6" t="s">
        <v>43</v>
      </c>
      <c r="AM6" t="s">
        <v>44</v>
      </c>
      <c r="AN6" t="s">
        <v>45</v>
      </c>
    </row>
    <row r="7" spans="1:40" x14ac:dyDescent="0.2">
      <c r="A7" t="s">
        <v>54</v>
      </c>
      <c r="B7" t="s">
        <v>41</v>
      </c>
      <c r="C7">
        <v>0</v>
      </c>
      <c r="D7">
        <v>1001.314026</v>
      </c>
      <c r="E7">
        <v>0</v>
      </c>
      <c r="F7">
        <v>0</v>
      </c>
      <c r="G7">
        <v>44.537500000000001</v>
      </c>
      <c r="H7">
        <v>-125.3785</v>
      </c>
      <c r="I7" t="s">
        <v>41</v>
      </c>
      <c r="J7">
        <v>5000</v>
      </c>
      <c r="K7" t="s">
        <v>55</v>
      </c>
      <c r="L7">
        <v>1011.925</v>
      </c>
      <c r="M7">
        <v>1001.314</v>
      </c>
      <c r="N7">
        <v>44.537480000000002</v>
      </c>
      <c r="O7">
        <v>-125.37855999999999</v>
      </c>
      <c r="P7">
        <v>3.7178</v>
      </c>
      <c r="Q7">
        <v>3.7174</v>
      </c>
      <c r="R7">
        <v>3.2260779999999998</v>
      </c>
      <c r="S7">
        <v>3.226893</v>
      </c>
      <c r="T7">
        <v>34.414499999999997</v>
      </c>
      <c r="U7">
        <v>34.424700000000001</v>
      </c>
      <c r="V7">
        <v>13.603313999999999</v>
      </c>
      <c r="W7">
        <v>327.06100800000002</v>
      </c>
      <c r="X7">
        <v>-1.09E-2</v>
      </c>
      <c r="Y7">
        <v>6.8699999999999997E-2</v>
      </c>
      <c r="Z7">
        <v>98.298100000000005</v>
      </c>
      <c r="AK7">
        <v>34.417848999999997</v>
      </c>
      <c r="AL7" t="s">
        <v>43</v>
      </c>
      <c r="AM7" t="s">
        <v>44</v>
      </c>
      <c r="AN7" t="s">
        <v>45</v>
      </c>
    </row>
    <row r="8" spans="1:40" x14ac:dyDescent="0.2">
      <c r="A8" t="s">
        <v>56</v>
      </c>
      <c r="B8" t="s">
        <v>41</v>
      </c>
      <c r="C8">
        <v>0</v>
      </c>
      <c r="D8">
        <v>100.018997</v>
      </c>
      <c r="E8">
        <v>0</v>
      </c>
      <c r="F8">
        <v>0</v>
      </c>
      <c r="G8">
        <v>44.537500000000001</v>
      </c>
      <c r="H8">
        <v>-125.3785</v>
      </c>
      <c r="I8" t="s">
        <v>41</v>
      </c>
      <c r="J8">
        <v>5000</v>
      </c>
      <c r="K8" t="s">
        <v>57</v>
      </c>
      <c r="L8">
        <v>100.858</v>
      </c>
      <c r="M8">
        <v>100.01900000000001</v>
      </c>
      <c r="N8">
        <v>44.537480000000002</v>
      </c>
      <c r="O8">
        <v>-125.37857</v>
      </c>
      <c r="P8">
        <v>8.4669000000000008</v>
      </c>
      <c r="Q8">
        <v>8.4685000000000006</v>
      </c>
      <c r="R8">
        <v>3.5474670000000001</v>
      </c>
      <c r="S8">
        <v>3.5484650000000002</v>
      </c>
      <c r="T8">
        <v>33.709099999999999</v>
      </c>
      <c r="U8">
        <v>33.7181</v>
      </c>
      <c r="V8">
        <v>131.004471</v>
      </c>
      <c r="W8">
        <v>294.13393100000002</v>
      </c>
      <c r="X8">
        <v>-2.5000000000000001E-2</v>
      </c>
      <c r="Y8">
        <v>9.5899999999999999E-2</v>
      </c>
      <c r="Z8">
        <v>97.630200000000002</v>
      </c>
      <c r="AB8">
        <v>131.87998899999999</v>
      </c>
      <c r="AF8">
        <v>1.9646250000000001</v>
      </c>
      <c r="AG8">
        <v>30.166243999999999</v>
      </c>
      <c r="AH8">
        <v>26.872461999999999</v>
      </c>
      <c r="AI8">
        <v>0</v>
      </c>
      <c r="AJ8">
        <v>4.6E-5</v>
      </c>
      <c r="AL8" t="s">
        <v>43</v>
      </c>
      <c r="AM8" t="s">
        <v>44</v>
      </c>
      <c r="AN8" t="s">
        <v>45</v>
      </c>
    </row>
    <row r="9" spans="1:40" x14ac:dyDescent="0.2">
      <c r="A9" t="s">
        <v>58</v>
      </c>
      <c r="B9" t="s">
        <v>41</v>
      </c>
      <c r="C9">
        <v>0</v>
      </c>
      <c r="D9">
        <v>50.411999000000002</v>
      </c>
      <c r="E9">
        <v>0</v>
      </c>
      <c r="F9">
        <v>0</v>
      </c>
      <c r="G9">
        <v>44.537500000000001</v>
      </c>
      <c r="H9">
        <v>-125.3785</v>
      </c>
      <c r="I9" t="s">
        <v>41</v>
      </c>
      <c r="J9">
        <v>5000</v>
      </c>
      <c r="K9" t="s">
        <v>59</v>
      </c>
      <c r="L9">
        <v>50.829000000000001</v>
      </c>
      <c r="M9">
        <v>50.411999999999999</v>
      </c>
      <c r="N9">
        <v>44.537480000000002</v>
      </c>
      <c r="O9">
        <v>-125.37858</v>
      </c>
      <c r="P9">
        <v>8.3833000000000002</v>
      </c>
      <c r="Q9">
        <v>8.3827999999999996</v>
      </c>
      <c r="R9">
        <v>3.4542190000000002</v>
      </c>
      <c r="S9">
        <v>3.4553250000000002</v>
      </c>
      <c r="T9">
        <v>32.8264</v>
      </c>
      <c r="U9">
        <v>32.8386</v>
      </c>
      <c r="V9">
        <v>186.194804</v>
      </c>
      <c r="W9">
        <v>296.379863</v>
      </c>
      <c r="X9">
        <v>0.17080000000000001</v>
      </c>
      <c r="Y9">
        <v>0.127</v>
      </c>
      <c r="Z9">
        <v>96.875100000000003</v>
      </c>
      <c r="AB9">
        <v>181.22135900000001</v>
      </c>
      <c r="AF9">
        <v>1.617035</v>
      </c>
      <c r="AG9">
        <v>20.923161</v>
      </c>
      <c r="AH9">
        <v>19.859181</v>
      </c>
      <c r="AI9">
        <v>9.0389999999999998E-2</v>
      </c>
      <c r="AJ9">
        <v>4.6999999999999997E-5</v>
      </c>
      <c r="AL9" t="s">
        <v>43</v>
      </c>
      <c r="AM9" t="s">
        <v>44</v>
      </c>
      <c r="AN9" t="s">
        <v>45</v>
      </c>
    </row>
    <row r="10" spans="1:40" x14ac:dyDescent="0.2">
      <c r="A10" t="s">
        <v>60</v>
      </c>
      <c r="B10" t="s">
        <v>41</v>
      </c>
      <c r="C10">
        <v>0</v>
      </c>
      <c r="D10">
        <v>30.384001000000001</v>
      </c>
      <c r="E10">
        <v>0</v>
      </c>
      <c r="F10">
        <v>0</v>
      </c>
      <c r="G10">
        <v>44.537500000000001</v>
      </c>
      <c r="H10">
        <v>-125.3785</v>
      </c>
      <c r="I10" t="s">
        <v>41</v>
      </c>
      <c r="J10">
        <v>5000</v>
      </c>
      <c r="K10" t="s">
        <v>61</v>
      </c>
      <c r="L10">
        <v>30.632999999999999</v>
      </c>
      <c r="M10">
        <v>30.384</v>
      </c>
      <c r="N10">
        <v>44.537489999999998</v>
      </c>
      <c r="O10">
        <v>-125.37855999999999</v>
      </c>
      <c r="P10">
        <v>8.6727000000000007</v>
      </c>
      <c r="Q10">
        <v>8.6655999999999995</v>
      </c>
      <c r="R10">
        <v>3.4370039999999999</v>
      </c>
      <c r="S10">
        <v>3.4375520000000002</v>
      </c>
      <c r="T10">
        <v>32.3874</v>
      </c>
      <c r="U10">
        <v>32.3996</v>
      </c>
      <c r="V10">
        <v>250.250069</v>
      </c>
      <c r="W10">
        <v>295.30579899999998</v>
      </c>
      <c r="X10">
        <v>0.80159999999999998</v>
      </c>
      <c r="Y10">
        <v>0.20649999999999999</v>
      </c>
      <c r="Z10">
        <v>94.967600000000004</v>
      </c>
      <c r="AB10">
        <v>238.57933399999999</v>
      </c>
      <c r="AF10">
        <v>1.138892</v>
      </c>
      <c r="AG10">
        <v>11.775765</v>
      </c>
      <c r="AH10">
        <v>11.208432</v>
      </c>
      <c r="AI10">
        <v>0.16328699999999999</v>
      </c>
      <c r="AJ10">
        <v>4.8000000000000001E-5</v>
      </c>
      <c r="AL10" t="s">
        <v>43</v>
      </c>
      <c r="AM10" t="s">
        <v>44</v>
      </c>
      <c r="AN10" t="s">
        <v>45</v>
      </c>
    </row>
    <row r="11" spans="1:40" x14ac:dyDescent="0.2">
      <c r="A11" t="s">
        <v>62</v>
      </c>
      <c r="B11" t="s">
        <v>41</v>
      </c>
      <c r="C11">
        <v>0</v>
      </c>
      <c r="D11">
        <v>199.979004</v>
      </c>
      <c r="E11">
        <v>0</v>
      </c>
      <c r="F11">
        <v>0</v>
      </c>
      <c r="G11">
        <v>44.537500000000001</v>
      </c>
      <c r="H11">
        <v>-125.3785</v>
      </c>
      <c r="I11" t="s">
        <v>41</v>
      </c>
      <c r="J11">
        <v>5000</v>
      </c>
      <c r="K11" t="s">
        <v>63</v>
      </c>
      <c r="L11">
        <v>201.70599999999999</v>
      </c>
      <c r="M11">
        <v>199.97900000000001</v>
      </c>
      <c r="N11">
        <v>44.537489999999998</v>
      </c>
      <c r="O11">
        <v>-125.37857</v>
      </c>
      <c r="P11">
        <v>7.3413000000000004</v>
      </c>
      <c r="Q11">
        <v>7.3410000000000002</v>
      </c>
      <c r="R11">
        <v>3.474602</v>
      </c>
      <c r="S11">
        <v>3.475543</v>
      </c>
      <c r="T11">
        <v>33.969799999999999</v>
      </c>
      <c r="U11">
        <v>33.9803</v>
      </c>
      <c r="V11">
        <v>99.586442000000005</v>
      </c>
      <c r="W11">
        <v>301.19014800000002</v>
      </c>
      <c r="X11">
        <v>-2.3300000000000001E-2</v>
      </c>
      <c r="Y11">
        <v>8.9700000000000002E-2</v>
      </c>
      <c r="Z11">
        <v>97.783299999999997</v>
      </c>
      <c r="AB11">
        <v>101.025243</v>
      </c>
      <c r="AF11">
        <v>2.2326969999999999</v>
      </c>
      <c r="AG11">
        <v>43.105289999999997</v>
      </c>
      <c r="AH11">
        <v>32.074323999999997</v>
      </c>
      <c r="AI11">
        <v>0</v>
      </c>
      <c r="AJ11">
        <v>4.5000000000000003E-5</v>
      </c>
      <c r="AK11">
        <v>33.971384999999998</v>
      </c>
      <c r="AL11" t="s">
        <v>43</v>
      </c>
      <c r="AM11" t="s">
        <v>44</v>
      </c>
      <c r="AN11" t="s">
        <v>45</v>
      </c>
    </row>
    <row r="12" spans="1:40" x14ac:dyDescent="0.2">
      <c r="A12" t="s">
        <v>64</v>
      </c>
      <c r="B12" t="s">
        <v>65</v>
      </c>
      <c r="C12">
        <v>1</v>
      </c>
      <c r="D12">
        <v>1800.709961</v>
      </c>
      <c r="E12">
        <v>0</v>
      </c>
      <c r="F12">
        <v>371593.96875</v>
      </c>
      <c r="G12">
        <v>45.830666999999998</v>
      </c>
      <c r="H12">
        <v>-129.73949999999999</v>
      </c>
      <c r="I12" t="s">
        <v>65</v>
      </c>
      <c r="J12">
        <v>5000</v>
      </c>
      <c r="AL12" t="s">
        <v>66</v>
      </c>
      <c r="AM12" t="s">
        <v>44</v>
      </c>
      <c r="AN12" t="s">
        <v>45</v>
      </c>
    </row>
    <row r="13" spans="1:40" x14ac:dyDescent="0.2">
      <c r="A13" t="s">
        <v>67</v>
      </c>
      <c r="B13" t="s">
        <v>68</v>
      </c>
      <c r="C13">
        <v>2</v>
      </c>
      <c r="D13">
        <v>119.345001</v>
      </c>
      <c r="E13">
        <v>0</v>
      </c>
      <c r="F13">
        <v>371593.96875</v>
      </c>
      <c r="G13">
        <v>45.830666999999998</v>
      </c>
      <c r="H13">
        <v>-129.73949999999999</v>
      </c>
      <c r="I13" t="s">
        <v>68</v>
      </c>
      <c r="J13">
        <v>5000</v>
      </c>
      <c r="K13" t="s">
        <v>69</v>
      </c>
      <c r="L13">
        <v>120.366</v>
      </c>
      <c r="M13">
        <v>119.345</v>
      </c>
      <c r="N13">
        <v>45.830620000000003</v>
      </c>
      <c r="O13">
        <v>-129.73947999999999</v>
      </c>
      <c r="P13">
        <v>8.3287999999999993</v>
      </c>
      <c r="Q13">
        <v>8.3232999999999997</v>
      </c>
      <c r="R13">
        <v>3.421103</v>
      </c>
      <c r="S13">
        <v>3.4219059999999999</v>
      </c>
      <c r="T13">
        <v>32.495899999999999</v>
      </c>
      <c r="U13">
        <v>32.509500000000003</v>
      </c>
      <c r="V13">
        <v>274.23674</v>
      </c>
      <c r="W13">
        <v>297.38068399999997</v>
      </c>
      <c r="X13">
        <v>8.5000000000000006E-3</v>
      </c>
      <c r="Y13">
        <v>0.1031</v>
      </c>
      <c r="Z13">
        <v>97.456100000000006</v>
      </c>
      <c r="AA13">
        <v>8.1229999999999993</v>
      </c>
      <c r="AB13">
        <v>270.11042400000002</v>
      </c>
      <c r="AF13">
        <v>1.0412459999999999</v>
      </c>
      <c r="AG13">
        <v>7.6057079999999999</v>
      </c>
      <c r="AH13">
        <v>10.335554</v>
      </c>
      <c r="AI13">
        <v>-1.449E-3</v>
      </c>
      <c r="AJ13">
        <v>5.1869999999999998E-3</v>
      </c>
      <c r="AL13" t="s">
        <v>66</v>
      </c>
      <c r="AM13" t="s">
        <v>44</v>
      </c>
      <c r="AN13" t="s">
        <v>45</v>
      </c>
    </row>
    <row r="14" spans="1:40" x14ac:dyDescent="0.2">
      <c r="A14" t="s">
        <v>70</v>
      </c>
      <c r="B14" t="s">
        <v>68</v>
      </c>
      <c r="C14">
        <v>2</v>
      </c>
      <c r="D14">
        <v>219.91999799999999</v>
      </c>
      <c r="E14">
        <v>0</v>
      </c>
      <c r="F14">
        <v>371593.96875</v>
      </c>
      <c r="G14">
        <v>45.830666999999998</v>
      </c>
      <c r="H14">
        <v>-129.73949999999999</v>
      </c>
      <c r="I14" t="s">
        <v>68</v>
      </c>
      <c r="J14">
        <v>5000</v>
      </c>
      <c r="K14" t="s">
        <v>71</v>
      </c>
      <c r="L14">
        <v>221.85599999999999</v>
      </c>
      <c r="M14">
        <v>219.92</v>
      </c>
      <c r="N14">
        <v>45.830620000000003</v>
      </c>
      <c r="O14">
        <v>-129.73947999999999</v>
      </c>
      <c r="P14">
        <v>7.1191000000000004</v>
      </c>
      <c r="Q14">
        <v>7.1176000000000004</v>
      </c>
      <c r="R14">
        <v>3.447416</v>
      </c>
      <c r="S14">
        <v>3.448099</v>
      </c>
      <c r="T14">
        <v>33.881700000000002</v>
      </c>
      <c r="U14">
        <v>33.890700000000002</v>
      </c>
      <c r="V14">
        <v>158.00119900000001</v>
      </c>
      <c r="W14">
        <v>302.89793100000003</v>
      </c>
      <c r="X14">
        <v>-3.1399999999999997E-2</v>
      </c>
      <c r="Y14">
        <v>0.10730000000000001</v>
      </c>
      <c r="Z14">
        <v>97.353200000000001</v>
      </c>
      <c r="AA14">
        <v>7.9109999999999996</v>
      </c>
      <c r="AF14">
        <v>1.859264</v>
      </c>
      <c r="AG14">
        <v>37.071527000000003</v>
      </c>
      <c r="AH14">
        <v>27.443362</v>
      </c>
      <c r="AI14">
        <v>0</v>
      </c>
      <c r="AJ14">
        <v>3.4E-5</v>
      </c>
      <c r="AK14">
        <v>33.883063999999997</v>
      </c>
      <c r="AL14" t="s">
        <v>66</v>
      </c>
      <c r="AM14" t="s">
        <v>44</v>
      </c>
      <c r="AN14" t="s">
        <v>45</v>
      </c>
    </row>
    <row r="15" spans="1:40" x14ac:dyDescent="0.2">
      <c r="A15" t="s">
        <v>72</v>
      </c>
      <c r="B15" t="s">
        <v>68</v>
      </c>
      <c r="C15">
        <v>2</v>
      </c>
      <c r="D15">
        <v>179.712006</v>
      </c>
      <c r="E15">
        <v>0</v>
      </c>
      <c r="F15">
        <v>371593.96875</v>
      </c>
      <c r="G15">
        <v>45.830666999999998</v>
      </c>
      <c r="H15">
        <v>-129.73949999999999</v>
      </c>
      <c r="I15" t="s">
        <v>68</v>
      </c>
      <c r="J15">
        <v>5000</v>
      </c>
      <c r="K15" t="s">
        <v>73</v>
      </c>
      <c r="L15">
        <v>181.27600000000001</v>
      </c>
      <c r="M15">
        <v>179.71199999999999</v>
      </c>
      <c r="N15">
        <v>45.830620000000003</v>
      </c>
      <c r="O15">
        <v>-129.73947999999999</v>
      </c>
      <c r="P15">
        <v>7.3167</v>
      </c>
      <c r="Q15">
        <v>7.3174000000000001</v>
      </c>
      <c r="R15">
        <v>3.447012</v>
      </c>
      <c r="S15">
        <v>3.4479500000000001</v>
      </c>
      <c r="T15">
        <v>33.703800000000001</v>
      </c>
      <c r="U15">
        <v>33.713299999999997</v>
      </c>
      <c r="V15">
        <v>186.13674700000001</v>
      </c>
      <c r="W15">
        <v>301.88549799999998</v>
      </c>
      <c r="X15">
        <v>-3.1699999999999999E-2</v>
      </c>
      <c r="Y15">
        <v>0.1051</v>
      </c>
      <c r="Z15">
        <v>97.406000000000006</v>
      </c>
      <c r="AA15">
        <v>7.9470000000000001</v>
      </c>
      <c r="AF15">
        <v>1.707417</v>
      </c>
      <c r="AG15">
        <v>29.879245999999998</v>
      </c>
      <c r="AH15">
        <v>24.470011</v>
      </c>
      <c r="AI15">
        <v>0</v>
      </c>
      <c r="AJ15">
        <v>3.6000000000000001E-5</v>
      </c>
      <c r="AK15">
        <v>33.785777000000003</v>
      </c>
      <c r="AL15" t="s">
        <v>66</v>
      </c>
      <c r="AM15" t="s">
        <v>44</v>
      </c>
      <c r="AN15" t="s">
        <v>45</v>
      </c>
    </row>
    <row r="16" spans="1:40" x14ac:dyDescent="0.2">
      <c r="A16" t="s">
        <v>74</v>
      </c>
      <c r="B16" t="s">
        <v>68</v>
      </c>
      <c r="C16">
        <v>2</v>
      </c>
      <c r="D16">
        <v>160.425003</v>
      </c>
      <c r="E16">
        <v>0</v>
      </c>
      <c r="F16">
        <v>371593.96875</v>
      </c>
      <c r="G16">
        <v>45.830666999999998</v>
      </c>
      <c r="H16">
        <v>-129.73949999999999</v>
      </c>
      <c r="I16" t="s">
        <v>68</v>
      </c>
      <c r="J16">
        <v>5000</v>
      </c>
      <c r="K16" t="s">
        <v>75</v>
      </c>
      <c r="L16">
        <v>161.81399999999999</v>
      </c>
      <c r="M16">
        <v>160.42500000000001</v>
      </c>
      <c r="N16">
        <v>45.830620000000003</v>
      </c>
      <c r="O16">
        <v>-129.73946000000001</v>
      </c>
      <c r="P16">
        <v>7.2840999999999996</v>
      </c>
      <c r="Q16">
        <v>7.2839</v>
      </c>
      <c r="R16">
        <v>3.4214690000000001</v>
      </c>
      <c r="S16">
        <v>3.4223309999999998</v>
      </c>
      <c r="T16">
        <v>33.467199999999998</v>
      </c>
      <c r="U16">
        <v>33.476799999999997</v>
      </c>
      <c r="V16">
        <v>206.19783899999999</v>
      </c>
      <c r="W16">
        <v>302.57950799999998</v>
      </c>
      <c r="X16">
        <v>-3.8600000000000002E-2</v>
      </c>
      <c r="Y16">
        <v>0.1024</v>
      </c>
      <c r="Z16">
        <v>97.473200000000006</v>
      </c>
      <c r="AA16">
        <v>7.9779999999999998</v>
      </c>
      <c r="AF16">
        <v>1.5913759999999999</v>
      </c>
      <c r="AG16">
        <v>24.845879</v>
      </c>
      <c r="AH16">
        <v>21.981925</v>
      </c>
      <c r="AI16">
        <v>0</v>
      </c>
      <c r="AJ16">
        <v>3.6999999999999998E-5</v>
      </c>
      <c r="AL16" t="s">
        <v>66</v>
      </c>
      <c r="AM16" t="s">
        <v>44</v>
      </c>
      <c r="AN16" t="s">
        <v>45</v>
      </c>
    </row>
    <row r="17" spans="1:40" x14ac:dyDescent="0.2">
      <c r="A17" t="s">
        <v>76</v>
      </c>
      <c r="B17" t="s">
        <v>68</v>
      </c>
      <c r="C17">
        <v>2</v>
      </c>
      <c r="D17">
        <v>119.345001</v>
      </c>
      <c r="E17">
        <v>0</v>
      </c>
      <c r="F17">
        <v>371593.96875</v>
      </c>
      <c r="G17">
        <v>45.830666999999998</v>
      </c>
      <c r="H17">
        <v>-129.73949999999999</v>
      </c>
      <c r="I17" t="s">
        <v>68</v>
      </c>
      <c r="J17">
        <v>5000</v>
      </c>
      <c r="K17" t="s">
        <v>69</v>
      </c>
      <c r="L17">
        <v>120.366</v>
      </c>
      <c r="M17">
        <v>119.345</v>
      </c>
      <c r="N17">
        <v>45.830620000000003</v>
      </c>
      <c r="O17">
        <v>-129.73947999999999</v>
      </c>
      <c r="P17">
        <v>8.3287999999999993</v>
      </c>
      <c r="Q17">
        <v>8.3232999999999997</v>
      </c>
      <c r="R17">
        <v>3.421103</v>
      </c>
      <c r="S17">
        <v>3.4219059999999999</v>
      </c>
      <c r="T17">
        <v>32.495899999999999</v>
      </c>
      <c r="U17">
        <v>32.509500000000003</v>
      </c>
      <c r="V17">
        <v>274.23674</v>
      </c>
      <c r="W17">
        <v>297.38068399999997</v>
      </c>
      <c r="X17">
        <v>8.5000000000000006E-3</v>
      </c>
      <c r="Y17">
        <v>0.1031</v>
      </c>
      <c r="Z17">
        <v>97.456100000000006</v>
      </c>
      <c r="AA17">
        <v>8.1229999999999993</v>
      </c>
      <c r="AB17">
        <v>266.23933099999999</v>
      </c>
      <c r="AL17" t="s">
        <v>66</v>
      </c>
      <c r="AM17" t="s">
        <v>44</v>
      </c>
      <c r="AN17" t="s">
        <v>45</v>
      </c>
    </row>
    <row r="18" spans="1:40" x14ac:dyDescent="0.2">
      <c r="A18" t="s">
        <v>77</v>
      </c>
      <c r="B18" t="s">
        <v>68</v>
      </c>
      <c r="C18">
        <v>2</v>
      </c>
      <c r="D18">
        <v>100.518997</v>
      </c>
      <c r="E18">
        <v>0</v>
      </c>
      <c r="F18">
        <v>371593.96875</v>
      </c>
      <c r="G18">
        <v>45.830666999999998</v>
      </c>
      <c r="H18">
        <v>-129.73949999999999</v>
      </c>
      <c r="I18" t="s">
        <v>68</v>
      </c>
      <c r="J18">
        <v>5000</v>
      </c>
      <c r="K18" t="s">
        <v>78</v>
      </c>
      <c r="L18">
        <v>101.375</v>
      </c>
      <c r="M18">
        <v>100.51900000000001</v>
      </c>
      <c r="N18">
        <v>45.830620000000003</v>
      </c>
      <c r="O18">
        <v>-129.73947999999999</v>
      </c>
      <c r="P18">
        <v>8.6768999999999998</v>
      </c>
      <c r="Q18">
        <v>8.6737000000000002</v>
      </c>
      <c r="R18">
        <v>3.440909</v>
      </c>
      <c r="S18">
        <v>3.441513</v>
      </c>
      <c r="T18">
        <v>32.392600000000002</v>
      </c>
      <c r="U18">
        <v>32.401800000000001</v>
      </c>
      <c r="V18">
        <v>287.23714899999999</v>
      </c>
      <c r="W18">
        <v>295.26828499999999</v>
      </c>
      <c r="X18">
        <v>9.1300000000000006E-2</v>
      </c>
      <c r="Y18">
        <v>0.1077</v>
      </c>
      <c r="Z18">
        <v>97.342100000000002</v>
      </c>
      <c r="AA18">
        <v>8.157</v>
      </c>
      <c r="AC18">
        <v>0.105457</v>
      </c>
      <c r="AD18">
        <v>6.0129000000000002E-2</v>
      </c>
      <c r="AE18">
        <v>1.627178</v>
      </c>
      <c r="AF18">
        <v>0.90191100000000002</v>
      </c>
      <c r="AG18">
        <v>5.3800179999999997</v>
      </c>
      <c r="AH18">
        <v>6.6031190000000004</v>
      </c>
      <c r="AI18">
        <v>1.0611299999999999</v>
      </c>
      <c r="AJ18">
        <v>2.4680000000000001E-2</v>
      </c>
      <c r="AK18">
        <v>32.391992999999999</v>
      </c>
      <c r="AL18" t="s">
        <v>66</v>
      </c>
      <c r="AM18" t="s">
        <v>44</v>
      </c>
      <c r="AN18" t="s">
        <v>45</v>
      </c>
    </row>
    <row r="19" spans="1:40" x14ac:dyDescent="0.2">
      <c r="A19" t="s">
        <v>79</v>
      </c>
      <c r="B19" t="s">
        <v>68</v>
      </c>
      <c r="C19">
        <v>2</v>
      </c>
      <c r="D19">
        <v>199.365005</v>
      </c>
      <c r="E19">
        <v>0</v>
      </c>
      <c r="F19">
        <v>371593.96875</v>
      </c>
      <c r="G19">
        <v>45.830666999999998</v>
      </c>
      <c r="H19">
        <v>-129.73949999999999</v>
      </c>
      <c r="I19" t="s">
        <v>68</v>
      </c>
      <c r="J19">
        <v>5000</v>
      </c>
      <c r="K19" t="s">
        <v>80</v>
      </c>
      <c r="L19">
        <v>201.11</v>
      </c>
      <c r="M19">
        <v>199.36500000000001</v>
      </c>
      <c r="N19">
        <v>45.830629999999999</v>
      </c>
      <c r="O19">
        <v>-129.73947000000001</v>
      </c>
      <c r="P19">
        <v>7.3207000000000004</v>
      </c>
      <c r="Q19">
        <v>7.3197999999999999</v>
      </c>
      <c r="R19">
        <v>3.4603169999999999</v>
      </c>
      <c r="S19">
        <v>3.4611930000000002</v>
      </c>
      <c r="T19">
        <v>33.835000000000001</v>
      </c>
      <c r="U19">
        <v>33.845399999999998</v>
      </c>
      <c r="V19">
        <v>155.38414599999999</v>
      </c>
      <c r="W19">
        <v>301.59833700000001</v>
      </c>
      <c r="X19">
        <v>-3.8899999999999997E-2</v>
      </c>
      <c r="Y19">
        <v>0.1067</v>
      </c>
      <c r="Z19">
        <v>97.3673</v>
      </c>
      <c r="AA19">
        <v>7.899</v>
      </c>
      <c r="AF19">
        <v>1.8421620000000001</v>
      </c>
      <c r="AG19">
        <v>34.912646000000002</v>
      </c>
      <c r="AH19">
        <v>26.810178000000001</v>
      </c>
      <c r="AI19">
        <v>0</v>
      </c>
      <c r="AJ19">
        <v>8.7139999999999995E-3</v>
      </c>
      <c r="AK19">
        <v>33.918897999999999</v>
      </c>
      <c r="AL19" t="s">
        <v>66</v>
      </c>
      <c r="AM19" t="s">
        <v>44</v>
      </c>
      <c r="AN19" t="s">
        <v>45</v>
      </c>
    </row>
    <row r="20" spans="1:40" x14ac:dyDescent="0.2">
      <c r="A20" t="s">
        <v>81</v>
      </c>
      <c r="B20" t="s">
        <v>68</v>
      </c>
      <c r="C20">
        <v>2</v>
      </c>
      <c r="D20">
        <v>59.408000999999999</v>
      </c>
      <c r="E20">
        <v>0</v>
      </c>
      <c r="F20">
        <v>371593.96875</v>
      </c>
      <c r="G20">
        <v>45.830666999999998</v>
      </c>
      <c r="H20">
        <v>-129.73949999999999</v>
      </c>
      <c r="I20" t="s">
        <v>68</v>
      </c>
      <c r="J20">
        <v>5000</v>
      </c>
      <c r="K20" t="s">
        <v>82</v>
      </c>
      <c r="L20">
        <v>59.908000000000001</v>
      </c>
      <c r="M20">
        <v>59.408000000000001</v>
      </c>
      <c r="N20">
        <v>45.830640000000002</v>
      </c>
      <c r="O20">
        <v>-129.73944</v>
      </c>
      <c r="P20">
        <v>10.213900000000001</v>
      </c>
      <c r="Q20">
        <v>10.215</v>
      </c>
      <c r="R20">
        <v>3.5706859999999998</v>
      </c>
      <c r="S20">
        <v>3.5718019999999999</v>
      </c>
      <c r="T20">
        <v>32.3538</v>
      </c>
      <c r="U20">
        <v>32.363999999999997</v>
      </c>
      <c r="V20">
        <v>292.88212299999998</v>
      </c>
      <c r="W20">
        <v>285.50703600000003</v>
      </c>
      <c r="X20">
        <v>1.3072999999999999</v>
      </c>
      <c r="Y20">
        <v>0.1956</v>
      </c>
      <c r="Z20">
        <v>95.226699999999994</v>
      </c>
      <c r="AA20">
        <v>8.1910000000000007</v>
      </c>
      <c r="AB20">
        <v>284.79000500000001</v>
      </c>
      <c r="AL20" t="s">
        <v>66</v>
      </c>
      <c r="AM20" t="s">
        <v>44</v>
      </c>
      <c r="AN20" t="s">
        <v>45</v>
      </c>
    </row>
    <row r="21" spans="1:40" x14ac:dyDescent="0.2">
      <c r="A21" t="s">
        <v>83</v>
      </c>
      <c r="B21" t="s">
        <v>68</v>
      </c>
      <c r="C21">
        <v>2</v>
      </c>
      <c r="D21">
        <v>59.408000999999999</v>
      </c>
      <c r="E21">
        <v>0</v>
      </c>
      <c r="F21">
        <v>371593.96875</v>
      </c>
      <c r="G21">
        <v>45.830666999999998</v>
      </c>
      <c r="H21">
        <v>-129.73949999999999</v>
      </c>
      <c r="I21" t="s">
        <v>68</v>
      </c>
      <c r="J21">
        <v>5000</v>
      </c>
      <c r="K21" t="s">
        <v>82</v>
      </c>
      <c r="L21">
        <v>59.908000000000001</v>
      </c>
      <c r="M21">
        <v>59.408000000000001</v>
      </c>
      <c r="N21">
        <v>45.830640000000002</v>
      </c>
      <c r="O21">
        <v>-129.73944</v>
      </c>
      <c r="P21">
        <v>10.213900000000001</v>
      </c>
      <c r="Q21">
        <v>10.215</v>
      </c>
      <c r="R21">
        <v>3.5706859999999998</v>
      </c>
      <c r="S21">
        <v>3.5718019999999999</v>
      </c>
      <c r="T21">
        <v>32.3538</v>
      </c>
      <c r="U21">
        <v>32.363999999999997</v>
      </c>
      <c r="V21">
        <v>292.88212299999998</v>
      </c>
      <c r="W21">
        <v>285.50703600000003</v>
      </c>
      <c r="X21">
        <v>1.3072999999999999</v>
      </c>
      <c r="Y21">
        <v>0.1956</v>
      </c>
      <c r="Z21">
        <v>95.226699999999994</v>
      </c>
      <c r="AA21">
        <v>8.1910000000000007</v>
      </c>
      <c r="AB21">
        <v>286.20476500000001</v>
      </c>
      <c r="AC21">
        <v>0.483929</v>
      </c>
      <c r="AD21">
        <v>0.25457000000000002</v>
      </c>
      <c r="AE21">
        <v>1.6453120000000001</v>
      </c>
      <c r="AF21">
        <v>0.47497299999999998</v>
      </c>
      <c r="AG21">
        <v>0.40619100000000002</v>
      </c>
      <c r="AH21">
        <v>0.18903900000000001</v>
      </c>
      <c r="AI21">
        <v>0</v>
      </c>
      <c r="AJ21">
        <v>4.5277999999999999E-2</v>
      </c>
      <c r="AK21">
        <v>32.390048999999998</v>
      </c>
      <c r="AL21" t="s">
        <v>66</v>
      </c>
      <c r="AM21" t="s">
        <v>44</v>
      </c>
      <c r="AN21" t="s">
        <v>45</v>
      </c>
    </row>
    <row r="22" spans="1:40" x14ac:dyDescent="0.2">
      <c r="A22" t="s">
        <v>84</v>
      </c>
      <c r="B22" t="s">
        <v>68</v>
      </c>
      <c r="C22">
        <v>2</v>
      </c>
      <c r="D22">
        <v>39.702998999999998</v>
      </c>
      <c r="E22">
        <v>0</v>
      </c>
      <c r="F22">
        <v>371593.96875</v>
      </c>
      <c r="G22">
        <v>45.830666999999998</v>
      </c>
      <c r="H22">
        <v>-129.73949999999999</v>
      </c>
      <c r="I22" t="s">
        <v>68</v>
      </c>
      <c r="J22">
        <v>5000</v>
      </c>
      <c r="K22" t="s">
        <v>85</v>
      </c>
      <c r="L22">
        <v>40.034999999999997</v>
      </c>
      <c r="M22">
        <v>39.703000000000003</v>
      </c>
      <c r="N22">
        <v>45.830620000000003</v>
      </c>
      <c r="O22">
        <v>-129.73947999999999</v>
      </c>
      <c r="P22">
        <v>13.7818</v>
      </c>
      <c r="Q22">
        <v>13.7765</v>
      </c>
      <c r="R22">
        <v>3.8828070000000001</v>
      </c>
      <c r="S22">
        <v>3.883435</v>
      </c>
      <c r="T22">
        <v>32.284100000000002</v>
      </c>
      <c r="U22">
        <v>32.294400000000003</v>
      </c>
      <c r="V22">
        <v>280.85529200000002</v>
      </c>
      <c r="W22">
        <v>264.95022299999999</v>
      </c>
      <c r="X22">
        <v>0.68689999999999996</v>
      </c>
      <c r="Y22">
        <v>0.2019</v>
      </c>
      <c r="Z22">
        <v>95.077200000000005</v>
      </c>
      <c r="AA22">
        <v>8.234</v>
      </c>
      <c r="AC22">
        <v>0.277117</v>
      </c>
      <c r="AD22">
        <v>0.118672</v>
      </c>
      <c r="AE22">
        <v>1.6895039999999999</v>
      </c>
      <c r="AL22" t="s">
        <v>66</v>
      </c>
      <c r="AM22" t="s">
        <v>44</v>
      </c>
      <c r="AN22" t="s">
        <v>45</v>
      </c>
    </row>
    <row r="23" spans="1:40" x14ac:dyDescent="0.2">
      <c r="A23" t="s">
        <v>86</v>
      </c>
      <c r="B23" t="s">
        <v>68</v>
      </c>
      <c r="C23">
        <v>2</v>
      </c>
      <c r="D23">
        <v>19.912001</v>
      </c>
      <c r="E23">
        <v>0</v>
      </c>
      <c r="F23">
        <v>371593.96875</v>
      </c>
      <c r="G23">
        <v>45.830666999999998</v>
      </c>
      <c r="H23">
        <v>-129.73949999999999</v>
      </c>
      <c r="I23" t="s">
        <v>68</v>
      </c>
      <c r="J23">
        <v>5000</v>
      </c>
      <c r="K23" t="s">
        <v>87</v>
      </c>
      <c r="L23">
        <v>20.077000000000002</v>
      </c>
      <c r="M23">
        <v>19.911999999999999</v>
      </c>
      <c r="N23">
        <v>45.830629999999999</v>
      </c>
      <c r="O23">
        <v>-129.73945000000001</v>
      </c>
      <c r="P23">
        <v>16.448699999999999</v>
      </c>
      <c r="Q23">
        <v>16.317399999999999</v>
      </c>
      <c r="R23">
        <v>4.1242710000000002</v>
      </c>
      <c r="S23">
        <v>4.1133139999999999</v>
      </c>
      <c r="T23">
        <v>32.263500000000001</v>
      </c>
      <c r="U23">
        <v>32.273899999999998</v>
      </c>
      <c r="V23">
        <v>262.13845400000002</v>
      </c>
      <c r="W23">
        <v>251.24508399999999</v>
      </c>
      <c r="X23">
        <v>0.2535</v>
      </c>
      <c r="Y23">
        <v>0.221</v>
      </c>
      <c r="Z23">
        <v>94.624700000000004</v>
      </c>
      <c r="AA23">
        <v>8.2240000000000002</v>
      </c>
      <c r="AB23">
        <v>252.34962100000001</v>
      </c>
      <c r="AL23" t="s">
        <v>66</v>
      </c>
      <c r="AM23" t="s">
        <v>44</v>
      </c>
      <c r="AN23" t="s">
        <v>45</v>
      </c>
    </row>
    <row r="24" spans="1:40" x14ac:dyDescent="0.2">
      <c r="A24" t="s">
        <v>88</v>
      </c>
      <c r="B24" t="s">
        <v>68</v>
      </c>
      <c r="C24">
        <v>2</v>
      </c>
      <c r="D24">
        <v>19.912001</v>
      </c>
      <c r="E24">
        <v>0</v>
      </c>
      <c r="F24">
        <v>371593.96875</v>
      </c>
      <c r="G24">
        <v>45.830666999999998</v>
      </c>
      <c r="H24">
        <v>-129.73949999999999</v>
      </c>
      <c r="I24" t="s">
        <v>68</v>
      </c>
      <c r="J24">
        <v>5000</v>
      </c>
      <c r="K24" t="s">
        <v>87</v>
      </c>
      <c r="L24">
        <v>20.077000000000002</v>
      </c>
      <c r="M24">
        <v>19.911999999999999</v>
      </c>
      <c r="N24">
        <v>45.830629999999999</v>
      </c>
      <c r="O24">
        <v>-129.73945000000001</v>
      </c>
      <c r="P24">
        <v>16.448699999999999</v>
      </c>
      <c r="Q24">
        <v>16.317399999999999</v>
      </c>
      <c r="R24">
        <v>4.1242710000000002</v>
      </c>
      <c r="S24">
        <v>4.1133139999999999</v>
      </c>
      <c r="T24">
        <v>32.263500000000001</v>
      </c>
      <c r="U24">
        <v>32.273899999999998</v>
      </c>
      <c r="V24">
        <v>262.13845400000002</v>
      </c>
      <c r="W24">
        <v>251.24508399999999</v>
      </c>
      <c r="X24">
        <v>0.2535</v>
      </c>
      <c r="Y24">
        <v>0.221</v>
      </c>
      <c r="Z24">
        <v>94.624700000000004</v>
      </c>
      <c r="AA24">
        <v>8.2240000000000002</v>
      </c>
      <c r="AB24">
        <v>253.70489000000001</v>
      </c>
      <c r="AC24">
        <v>0.17283200000000001</v>
      </c>
      <c r="AD24">
        <v>4.8717999999999997E-2</v>
      </c>
      <c r="AE24">
        <v>1.7682290000000001</v>
      </c>
      <c r="AF24">
        <v>0.44129499999999999</v>
      </c>
      <c r="AG24">
        <v>0.68214300000000005</v>
      </c>
      <c r="AH24">
        <v>0</v>
      </c>
      <c r="AI24">
        <v>0</v>
      </c>
      <c r="AJ24">
        <v>4.1999999999999998E-5</v>
      </c>
      <c r="AK24">
        <v>32.272643000000002</v>
      </c>
      <c r="AL24" t="s">
        <v>66</v>
      </c>
      <c r="AM24" t="s">
        <v>44</v>
      </c>
      <c r="AN24" t="s">
        <v>45</v>
      </c>
    </row>
    <row r="25" spans="1:40" x14ac:dyDescent="0.2">
      <c r="A25" t="s">
        <v>89</v>
      </c>
      <c r="B25" t="s">
        <v>68</v>
      </c>
      <c r="C25">
        <v>2</v>
      </c>
      <c r="D25">
        <v>10.129</v>
      </c>
      <c r="E25">
        <v>0</v>
      </c>
      <c r="F25">
        <v>371593.96875</v>
      </c>
      <c r="G25">
        <v>45.830666999999998</v>
      </c>
      <c r="H25">
        <v>-129.73949999999999</v>
      </c>
      <c r="I25" t="s">
        <v>68</v>
      </c>
      <c r="J25">
        <v>5000</v>
      </c>
      <c r="K25" t="s">
        <v>90</v>
      </c>
      <c r="L25">
        <v>10.212999999999999</v>
      </c>
      <c r="M25">
        <v>10.129</v>
      </c>
      <c r="N25">
        <v>45.830640000000002</v>
      </c>
      <c r="O25">
        <v>-129.73946000000001</v>
      </c>
      <c r="P25">
        <v>17.710999999999999</v>
      </c>
      <c r="Q25">
        <v>17.7102</v>
      </c>
      <c r="R25">
        <v>4.2433529999999999</v>
      </c>
      <c r="S25">
        <v>4.2445579999999996</v>
      </c>
      <c r="T25">
        <v>32.282200000000003</v>
      </c>
      <c r="U25">
        <v>32.293100000000003</v>
      </c>
      <c r="V25">
        <v>251.13879499999999</v>
      </c>
      <c r="W25">
        <v>245.164233</v>
      </c>
      <c r="X25">
        <v>0.15140000000000001</v>
      </c>
      <c r="Y25">
        <v>0.23799999999999999</v>
      </c>
      <c r="Z25">
        <v>94.222800000000007</v>
      </c>
      <c r="AA25">
        <v>8.2249999999999996</v>
      </c>
      <c r="AC25">
        <v>0.15759899999999999</v>
      </c>
      <c r="AD25">
        <v>2.4140999999999999E-2</v>
      </c>
      <c r="AE25">
        <v>1.8539680000000001</v>
      </c>
      <c r="AF25">
        <v>0.44825900000000002</v>
      </c>
      <c r="AG25">
        <v>0.64658599999999999</v>
      </c>
      <c r="AH25">
        <v>0</v>
      </c>
      <c r="AI25">
        <v>0</v>
      </c>
      <c r="AJ25">
        <v>4.3000000000000002E-5</v>
      </c>
      <c r="AL25" t="s">
        <v>66</v>
      </c>
      <c r="AM25" t="s">
        <v>44</v>
      </c>
      <c r="AN25" t="s">
        <v>45</v>
      </c>
    </row>
    <row r="26" spans="1:40" x14ac:dyDescent="0.2">
      <c r="A26" t="s">
        <v>91</v>
      </c>
      <c r="B26" t="s">
        <v>68</v>
      </c>
      <c r="C26">
        <v>2</v>
      </c>
      <c r="D26">
        <v>79.971999999999994</v>
      </c>
      <c r="E26">
        <v>0</v>
      </c>
      <c r="F26">
        <v>371593.96875</v>
      </c>
      <c r="G26">
        <v>45.830666999999998</v>
      </c>
      <c r="H26">
        <v>-129.73949999999999</v>
      </c>
      <c r="I26" t="s">
        <v>68</v>
      </c>
      <c r="J26">
        <v>5000</v>
      </c>
      <c r="K26" t="s">
        <v>92</v>
      </c>
      <c r="L26">
        <v>80.649000000000001</v>
      </c>
      <c r="M26">
        <v>79.971999999999994</v>
      </c>
      <c r="N26">
        <v>45.830620000000003</v>
      </c>
      <c r="O26">
        <v>-129.73947999999999</v>
      </c>
      <c r="P26">
        <v>9.0974000000000004</v>
      </c>
      <c r="Q26">
        <v>9.0989000000000004</v>
      </c>
      <c r="R26">
        <v>3.4742820000000001</v>
      </c>
      <c r="S26">
        <v>3.4753759999999998</v>
      </c>
      <c r="T26">
        <v>32.365600000000001</v>
      </c>
      <c r="U26">
        <v>32.375599999999999</v>
      </c>
      <c r="V26">
        <v>288.97440799999998</v>
      </c>
      <c r="W26">
        <v>292.56905899999998</v>
      </c>
      <c r="X26">
        <v>0.41199999999999998</v>
      </c>
      <c r="Y26">
        <v>0.12740000000000001</v>
      </c>
      <c r="Z26">
        <v>96.864000000000004</v>
      </c>
      <c r="AA26">
        <v>8.1679999999999993</v>
      </c>
      <c r="AC26">
        <v>0.239621</v>
      </c>
      <c r="AD26">
        <v>0.13078200000000001</v>
      </c>
      <c r="AE26">
        <v>1.6370720000000001</v>
      </c>
      <c r="AF26">
        <v>0.84941199999999994</v>
      </c>
      <c r="AG26">
        <v>3.5860750000000001</v>
      </c>
      <c r="AH26">
        <v>5.3017659999999998</v>
      </c>
      <c r="AI26">
        <v>0.40395599999999998</v>
      </c>
      <c r="AJ26">
        <v>1.0449600000000001</v>
      </c>
      <c r="AL26" t="s">
        <v>66</v>
      </c>
      <c r="AM26" t="s">
        <v>44</v>
      </c>
      <c r="AN26" t="s">
        <v>45</v>
      </c>
    </row>
    <row r="27" spans="1:40" x14ac:dyDescent="0.2">
      <c r="A27" t="s">
        <v>93</v>
      </c>
      <c r="B27" t="s">
        <v>94</v>
      </c>
      <c r="C27">
        <v>3</v>
      </c>
      <c r="D27">
        <v>2600.1689449999999</v>
      </c>
      <c r="E27">
        <v>0</v>
      </c>
      <c r="F27">
        <v>371593.96875</v>
      </c>
      <c r="G27">
        <v>45.830666999999998</v>
      </c>
      <c r="H27">
        <v>-129.73949999999999</v>
      </c>
      <c r="I27" t="s">
        <v>94</v>
      </c>
      <c r="J27">
        <v>5000</v>
      </c>
      <c r="K27" t="s">
        <v>95</v>
      </c>
      <c r="L27">
        <v>2638.1060000000002</v>
      </c>
      <c r="M27">
        <v>2600.1689999999999</v>
      </c>
      <c r="N27">
        <v>45.830640000000002</v>
      </c>
      <c r="O27">
        <v>-129.73946000000001</v>
      </c>
      <c r="P27">
        <v>1.8214999999999999</v>
      </c>
      <c r="Q27">
        <v>1.82</v>
      </c>
      <c r="R27">
        <v>3.1434389999999999</v>
      </c>
      <c r="S27">
        <v>3.1442100000000002</v>
      </c>
      <c r="T27">
        <v>34.622500000000002</v>
      </c>
      <c r="U27">
        <v>34.633499999999998</v>
      </c>
      <c r="V27">
        <v>77.984594000000001</v>
      </c>
      <c r="W27">
        <v>342.30600900000002</v>
      </c>
      <c r="X27">
        <v>-2.5000000000000001E-2</v>
      </c>
      <c r="Y27">
        <v>6.08E-2</v>
      </c>
      <c r="Z27">
        <v>98.491799999999998</v>
      </c>
      <c r="AB27">
        <v>78.834530999999998</v>
      </c>
      <c r="AC27">
        <v>2.343E-3</v>
      </c>
      <c r="AD27">
        <v>5.4100000000000003E-4</v>
      </c>
      <c r="AE27">
        <v>1.8</v>
      </c>
      <c r="AK27">
        <v>34.62227</v>
      </c>
      <c r="AL27" t="s">
        <v>66</v>
      </c>
      <c r="AM27" t="s">
        <v>44</v>
      </c>
      <c r="AN27" t="s">
        <v>45</v>
      </c>
    </row>
    <row r="28" spans="1:40" x14ac:dyDescent="0.2">
      <c r="A28" t="s">
        <v>96</v>
      </c>
      <c r="B28" t="s">
        <v>94</v>
      </c>
      <c r="C28">
        <v>3</v>
      </c>
      <c r="D28">
        <v>2401.040039</v>
      </c>
      <c r="E28">
        <v>0</v>
      </c>
      <c r="F28">
        <v>371593.96875</v>
      </c>
      <c r="G28">
        <v>45.830666999999998</v>
      </c>
      <c r="H28">
        <v>-129.73949999999999</v>
      </c>
      <c r="I28" t="s">
        <v>94</v>
      </c>
      <c r="J28">
        <v>5000</v>
      </c>
      <c r="K28" t="s">
        <v>97</v>
      </c>
      <c r="L28">
        <v>2434.922</v>
      </c>
      <c r="M28">
        <v>2401.04</v>
      </c>
      <c r="N28">
        <v>45.830640000000002</v>
      </c>
      <c r="O28">
        <v>-129.73946000000001</v>
      </c>
      <c r="P28">
        <v>1.8323</v>
      </c>
      <c r="Q28">
        <v>1.8308</v>
      </c>
      <c r="R28">
        <v>3.136161</v>
      </c>
      <c r="S28">
        <v>3.1369180000000001</v>
      </c>
      <c r="T28">
        <v>34.617899999999999</v>
      </c>
      <c r="U28">
        <v>34.628799999999998</v>
      </c>
      <c r="V28">
        <v>75.818602999999996</v>
      </c>
      <c r="W28">
        <v>342.22383500000001</v>
      </c>
      <c r="X28">
        <v>-1.8100000000000002E-2</v>
      </c>
      <c r="Y28">
        <v>5.91E-2</v>
      </c>
      <c r="Z28">
        <v>98.534400000000005</v>
      </c>
      <c r="AB28">
        <v>73.149565999999993</v>
      </c>
      <c r="AF28">
        <v>2.7804350000000002</v>
      </c>
      <c r="AG28">
        <v>162.125237</v>
      </c>
      <c r="AH28">
        <v>41.339131999999999</v>
      </c>
      <c r="AI28">
        <v>0</v>
      </c>
      <c r="AJ28">
        <v>-5.1E-5</v>
      </c>
      <c r="AL28" t="s">
        <v>66</v>
      </c>
      <c r="AM28" t="s">
        <v>44</v>
      </c>
      <c r="AN28" t="s">
        <v>45</v>
      </c>
    </row>
    <row r="29" spans="1:40" x14ac:dyDescent="0.2">
      <c r="A29" t="s">
        <v>98</v>
      </c>
      <c r="B29" t="s">
        <v>94</v>
      </c>
      <c r="C29">
        <v>3</v>
      </c>
      <c r="D29">
        <v>2000.380981</v>
      </c>
      <c r="E29">
        <v>0</v>
      </c>
      <c r="F29">
        <v>371593.96875</v>
      </c>
      <c r="G29">
        <v>45.830666999999998</v>
      </c>
      <c r="H29">
        <v>-129.73949999999999</v>
      </c>
      <c r="I29" t="s">
        <v>94</v>
      </c>
      <c r="J29">
        <v>5000</v>
      </c>
      <c r="K29" t="s">
        <v>99</v>
      </c>
      <c r="L29">
        <v>2026.6759999999999</v>
      </c>
      <c r="M29">
        <v>2000.3810000000001</v>
      </c>
      <c r="N29">
        <v>45.830640000000002</v>
      </c>
      <c r="O29">
        <v>-129.73945000000001</v>
      </c>
      <c r="P29">
        <v>1.9408000000000001</v>
      </c>
      <c r="Q29">
        <v>1.9396</v>
      </c>
      <c r="R29">
        <v>3.1277180000000002</v>
      </c>
      <c r="S29">
        <v>3.1284890000000001</v>
      </c>
      <c r="T29">
        <v>34.596400000000003</v>
      </c>
      <c r="U29">
        <v>34.607100000000003</v>
      </c>
      <c r="V29">
        <v>63.939149</v>
      </c>
      <c r="W29">
        <v>341.340915</v>
      </c>
      <c r="X29">
        <v>-1.84E-2</v>
      </c>
      <c r="Y29">
        <v>5.45E-2</v>
      </c>
      <c r="Z29">
        <v>98.645399999999995</v>
      </c>
      <c r="AF29">
        <v>2.8302320000000001</v>
      </c>
      <c r="AG29">
        <v>162.16110800000001</v>
      </c>
      <c r="AH29">
        <v>42.029794000000003</v>
      </c>
      <c r="AI29">
        <v>0</v>
      </c>
      <c r="AJ29">
        <v>3.1E-4</v>
      </c>
      <c r="AL29" t="s">
        <v>66</v>
      </c>
      <c r="AM29" t="s">
        <v>44</v>
      </c>
      <c r="AN29" t="s">
        <v>45</v>
      </c>
    </row>
    <row r="30" spans="1:40" x14ac:dyDescent="0.2">
      <c r="A30" t="s">
        <v>100</v>
      </c>
      <c r="B30" t="s">
        <v>94</v>
      </c>
      <c r="C30">
        <v>3</v>
      </c>
      <c r="D30">
        <v>1500.748047</v>
      </c>
      <c r="E30">
        <v>0</v>
      </c>
      <c r="F30">
        <v>371593.96875</v>
      </c>
      <c r="G30">
        <v>45.830666999999998</v>
      </c>
      <c r="H30">
        <v>-129.73949999999999</v>
      </c>
      <c r="I30" t="s">
        <v>94</v>
      </c>
      <c r="J30">
        <v>5000</v>
      </c>
      <c r="K30" t="s">
        <v>101</v>
      </c>
      <c r="L30">
        <v>1518.6579999999999</v>
      </c>
      <c r="M30">
        <v>1500.748</v>
      </c>
      <c r="N30">
        <v>45.830640000000002</v>
      </c>
      <c r="O30">
        <v>-129.73947000000001</v>
      </c>
      <c r="P30">
        <v>2.4239999999999999</v>
      </c>
      <c r="Q30">
        <v>2.4230999999999998</v>
      </c>
      <c r="R30">
        <v>3.1428600000000002</v>
      </c>
      <c r="S30">
        <v>3.1436320000000002</v>
      </c>
      <c r="T30">
        <v>34.520499999999998</v>
      </c>
      <c r="U30">
        <v>34.530900000000003</v>
      </c>
      <c r="V30">
        <v>31.878022000000001</v>
      </c>
      <c r="W30">
        <v>337.411317</v>
      </c>
      <c r="X30">
        <v>-1.84E-2</v>
      </c>
      <c r="Y30">
        <v>5.4300000000000001E-2</v>
      </c>
      <c r="Z30">
        <v>98.651200000000003</v>
      </c>
      <c r="AB30">
        <v>28.040476999999999</v>
      </c>
      <c r="AC30">
        <v>1.1720000000000001E-3</v>
      </c>
      <c r="AD30">
        <v>2.8670000000000002E-3</v>
      </c>
      <c r="AE30">
        <v>1.285714</v>
      </c>
      <c r="AK30">
        <v>34.535058999999997</v>
      </c>
      <c r="AL30" t="s">
        <v>66</v>
      </c>
      <c r="AM30" t="s">
        <v>44</v>
      </c>
      <c r="AN30" t="s">
        <v>45</v>
      </c>
    </row>
    <row r="31" spans="1:40" x14ac:dyDescent="0.2">
      <c r="A31" t="s">
        <v>102</v>
      </c>
      <c r="B31" t="s">
        <v>94</v>
      </c>
      <c r="C31">
        <v>3</v>
      </c>
      <c r="D31">
        <v>1000.703003</v>
      </c>
      <c r="E31">
        <v>0</v>
      </c>
      <c r="F31">
        <v>371593.96875</v>
      </c>
      <c r="G31">
        <v>45.830666999999998</v>
      </c>
      <c r="H31">
        <v>-129.73949999999999</v>
      </c>
      <c r="I31" t="s">
        <v>94</v>
      </c>
      <c r="J31">
        <v>5000</v>
      </c>
      <c r="K31" t="s">
        <v>103</v>
      </c>
      <c r="L31">
        <v>1011.427</v>
      </c>
      <c r="M31">
        <v>1000.703</v>
      </c>
      <c r="N31">
        <v>45.830640000000002</v>
      </c>
      <c r="O31">
        <v>-129.73946000000001</v>
      </c>
      <c r="P31">
        <v>3.3298999999999999</v>
      </c>
      <c r="Q31">
        <v>3.3298000000000001</v>
      </c>
      <c r="R31">
        <v>3.1879680000000001</v>
      </c>
      <c r="S31">
        <v>3.188809</v>
      </c>
      <c r="T31">
        <v>34.366799999999998</v>
      </c>
      <c r="U31">
        <v>34.377000000000002</v>
      </c>
      <c r="V31">
        <v>10.843351</v>
      </c>
      <c r="W31">
        <v>330.28275100000002</v>
      </c>
      <c r="X31">
        <v>1.8E-3</v>
      </c>
      <c r="Y31">
        <v>5.8500000000000003E-2</v>
      </c>
      <c r="Z31">
        <v>98.5488</v>
      </c>
      <c r="AB31">
        <v>7.7306660000000003</v>
      </c>
      <c r="AF31">
        <v>3.0999840000000001</v>
      </c>
      <c r="AG31">
        <v>124.30559599999999</v>
      </c>
      <c r="AH31">
        <v>44.775708999999999</v>
      </c>
      <c r="AI31">
        <v>0</v>
      </c>
      <c r="AJ31">
        <v>3.5140000000000002E-3</v>
      </c>
      <c r="AL31" t="s">
        <v>66</v>
      </c>
      <c r="AM31" t="s">
        <v>44</v>
      </c>
      <c r="AN31" t="s">
        <v>45</v>
      </c>
    </row>
    <row r="32" spans="1:40" x14ac:dyDescent="0.2">
      <c r="A32" t="s">
        <v>104</v>
      </c>
      <c r="B32" t="s">
        <v>94</v>
      </c>
      <c r="C32">
        <v>3</v>
      </c>
      <c r="D32">
        <v>500.63400300000001</v>
      </c>
      <c r="E32">
        <v>0</v>
      </c>
      <c r="F32">
        <v>371593.96875</v>
      </c>
      <c r="G32">
        <v>45.830666999999998</v>
      </c>
      <c r="H32">
        <v>-129.73949999999999</v>
      </c>
      <c r="I32" t="s">
        <v>94</v>
      </c>
      <c r="J32">
        <v>5000</v>
      </c>
      <c r="K32" t="s">
        <v>105</v>
      </c>
      <c r="L32">
        <v>505.38600000000002</v>
      </c>
      <c r="M32">
        <v>500.63400000000001</v>
      </c>
      <c r="N32">
        <v>45.830640000000002</v>
      </c>
      <c r="O32">
        <v>-129.73947999999999</v>
      </c>
      <c r="P32">
        <v>4.6056999999999997</v>
      </c>
      <c r="Q32">
        <v>4.6071</v>
      </c>
      <c r="R32">
        <v>3.2499060000000002</v>
      </c>
      <c r="S32">
        <v>3.250861</v>
      </c>
      <c r="T32">
        <v>34.033799999999999</v>
      </c>
      <c r="U32">
        <v>34.043500000000002</v>
      </c>
      <c r="V32">
        <v>43.949511999999999</v>
      </c>
      <c r="W32">
        <v>320.94442900000001</v>
      </c>
      <c r="X32">
        <v>-2.5000000000000001E-2</v>
      </c>
      <c r="Y32">
        <v>6.7799999999999999E-2</v>
      </c>
      <c r="Z32">
        <v>98.319900000000004</v>
      </c>
      <c r="AB32">
        <v>51.169773999999997</v>
      </c>
      <c r="AL32" t="s">
        <v>66</v>
      </c>
      <c r="AM32" t="s">
        <v>44</v>
      </c>
      <c r="AN32" t="s">
        <v>45</v>
      </c>
    </row>
    <row r="33" spans="1:40" x14ac:dyDescent="0.2">
      <c r="A33" t="s">
        <v>106</v>
      </c>
      <c r="B33" t="s">
        <v>94</v>
      </c>
      <c r="C33">
        <v>3</v>
      </c>
      <c r="D33">
        <v>749.68701199999998</v>
      </c>
      <c r="E33">
        <v>0</v>
      </c>
      <c r="F33">
        <v>371593.96875</v>
      </c>
      <c r="G33">
        <v>45.830666999999998</v>
      </c>
      <c r="H33">
        <v>-129.73949999999999</v>
      </c>
      <c r="I33" t="s">
        <v>94</v>
      </c>
      <c r="J33">
        <v>5000</v>
      </c>
      <c r="K33" t="s">
        <v>107</v>
      </c>
      <c r="L33">
        <v>757.26099999999997</v>
      </c>
      <c r="M33">
        <v>749.68700000000001</v>
      </c>
      <c r="N33">
        <v>45.830649999999999</v>
      </c>
      <c r="O33">
        <v>-129.73947999999999</v>
      </c>
      <c r="P33">
        <v>3.9266000000000001</v>
      </c>
      <c r="Q33">
        <v>3.9291</v>
      </c>
      <c r="R33">
        <v>3.2200229999999999</v>
      </c>
      <c r="S33">
        <v>3.2210420000000002</v>
      </c>
      <c r="T33">
        <v>34.255200000000002</v>
      </c>
      <c r="U33">
        <v>34.264600000000002</v>
      </c>
      <c r="V33">
        <v>11.5847</v>
      </c>
      <c r="W33">
        <v>325.75694800000002</v>
      </c>
      <c r="X33">
        <v>1.1999999999999999E-3</v>
      </c>
      <c r="Y33">
        <v>6.1600000000000002E-2</v>
      </c>
      <c r="Z33">
        <v>98.471299999999999</v>
      </c>
      <c r="AF33">
        <v>3.057242</v>
      </c>
      <c r="AG33">
        <v>103.967834</v>
      </c>
      <c r="AH33">
        <v>44.215722999999997</v>
      </c>
      <c r="AI33">
        <v>0</v>
      </c>
      <c r="AJ33">
        <v>-6.0000000000000002E-5</v>
      </c>
      <c r="AK33">
        <v>34.377420000000001</v>
      </c>
      <c r="AL33" t="s">
        <v>66</v>
      </c>
      <c r="AM33" t="s">
        <v>44</v>
      </c>
      <c r="AN33" t="s">
        <v>45</v>
      </c>
    </row>
    <row r="34" spans="1:40" x14ac:dyDescent="0.2">
      <c r="A34" t="s">
        <v>108</v>
      </c>
      <c r="B34" t="s">
        <v>94</v>
      </c>
      <c r="C34">
        <v>3</v>
      </c>
      <c r="D34">
        <v>200.854996</v>
      </c>
      <c r="E34">
        <v>0</v>
      </c>
      <c r="F34">
        <v>371593.96875</v>
      </c>
      <c r="G34">
        <v>45.830666999999998</v>
      </c>
      <c r="H34">
        <v>-129.73949999999999</v>
      </c>
      <c r="I34" t="s">
        <v>94</v>
      </c>
      <c r="J34">
        <v>5000</v>
      </c>
      <c r="K34" t="s">
        <v>109</v>
      </c>
      <c r="L34">
        <v>202.613</v>
      </c>
      <c r="M34">
        <v>200.85499999999999</v>
      </c>
      <c r="N34">
        <v>45.830640000000002</v>
      </c>
      <c r="O34">
        <v>-129.73946000000001</v>
      </c>
      <c r="P34">
        <v>7.3144</v>
      </c>
      <c r="Q34">
        <v>7.3120000000000003</v>
      </c>
      <c r="R34">
        <v>3.4597280000000001</v>
      </c>
      <c r="S34">
        <v>3.460737</v>
      </c>
      <c r="T34">
        <v>33.834099999999999</v>
      </c>
      <c r="U34">
        <v>33.847299999999997</v>
      </c>
      <c r="V34">
        <v>155.12958699999999</v>
      </c>
      <c r="W34">
        <v>301.64389</v>
      </c>
      <c r="X34">
        <v>-3.8600000000000002E-2</v>
      </c>
      <c r="Y34">
        <v>8.9800000000000005E-2</v>
      </c>
      <c r="Z34">
        <v>97.780500000000004</v>
      </c>
      <c r="AB34">
        <v>157.86921799999999</v>
      </c>
      <c r="AC34">
        <v>2.343E-3</v>
      </c>
      <c r="AD34">
        <v>2.5350000000000001E-2</v>
      </c>
      <c r="AE34">
        <v>1.0833330000000001</v>
      </c>
      <c r="AF34">
        <v>1.8093999999999999</v>
      </c>
      <c r="AG34">
        <v>33.777870999999998</v>
      </c>
      <c r="AH34">
        <v>26.590344999999999</v>
      </c>
      <c r="AI34">
        <v>0</v>
      </c>
      <c r="AJ34">
        <v>-6.6000000000000005E-5</v>
      </c>
      <c r="AL34" t="s">
        <v>66</v>
      </c>
      <c r="AM34" t="s">
        <v>44</v>
      </c>
      <c r="AN34" t="s">
        <v>45</v>
      </c>
    </row>
    <row r="35" spans="1:40" x14ac:dyDescent="0.2">
      <c r="A35" t="s">
        <v>110</v>
      </c>
      <c r="B35" t="s">
        <v>94</v>
      </c>
      <c r="C35">
        <v>3</v>
      </c>
      <c r="D35">
        <v>100.003998</v>
      </c>
      <c r="E35">
        <v>0</v>
      </c>
      <c r="F35">
        <v>371593.96875</v>
      </c>
      <c r="G35">
        <v>45.830666999999998</v>
      </c>
      <c r="H35">
        <v>-129.73949999999999</v>
      </c>
      <c r="I35" t="s">
        <v>94</v>
      </c>
      <c r="J35">
        <v>5000</v>
      </c>
      <c r="K35" t="s">
        <v>111</v>
      </c>
      <c r="L35">
        <v>100.854</v>
      </c>
      <c r="M35">
        <v>100.004</v>
      </c>
      <c r="N35">
        <v>45.830649999999999</v>
      </c>
      <c r="O35">
        <v>-129.73946000000001</v>
      </c>
      <c r="P35">
        <v>8.3074999999999992</v>
      </c>
      <c r="Q35">
        <v>8.3079999999999998</v>
      </c>
      <c r="R35">
        <v>3.4157009999999999</v>
      </c>
      <c r="S35">
        <v>3.4169309999999999</v>
      </c>
      <c r="T35">
        <v>32.467500000000001</v>
      </c>
      <c r="U35">
        <v>32.479999999999997</v>
      </c>
      <c r="V35">
        <v>275.38449100000003</v>
      </c>
      <c r="W35">
        <v>297.57852600000001</v>
      </c>
      <c r="X35">
        <v>7.9000000000000008E-3</v>
      </c>
      <c r="Y35">
        <v>9.3200000000000005E-2</v>
      </c>
      <c r="Z35">
        <v>97.696899999999999</v>
      </c>
      <c r="AB35">
        <v>280.50418999999999</v>
      </c>
      <c r="AF35">
        <v>1.004113</v>
      </c>
      <c r="AG35">
        <v>7.1898400000000002</v>
      </c>
      <c r="AH35">
        <v>9.8948330000000002</v>
      </c>
      <c r="AI35">
        <v>7.0154999999999995E-2</v>
      </c>
      <c r="AJ35">
        <v>-6.7999999999999999E-5</v>
      </c>
      <c r="AK35">
        <v>32.458500999999998</v>
      </c>
      <c r="AL35" t="s">
        <v>66</v>
      </c>
      <c r="AM35" t="s">
        <v>44</v>
      </c>
      <c r="AN35" t="s">
        <v>45</v>
      </c>
    </row>
    <row r="36" spans="1:40" x14ac:dyDescent="0.2">
      <c r="A36" t="s">
        <v>112</v>
      </c>
      <c r="B36" t="s">
        <v>94</v>
      </c>
      <c r="C36">
        <v>3</v>
      </c>
      <c r="D36">
        <v>75.301002999999994</v>
      </c>
      <c r="E36">
        <v>0</v>
      </c>
      <c r="F36">
        <v>371593.96875</v>
      </c>
      <c r="G36">
        <v>45.830666999999998</v>
      </c>
      <c r="H36">
        <v>-129.73949999999999</v>
      </c>
      <c r="I36" t="s">
        <v>94</v>
      </c>
      <c r="J36">
        <v>5000</v>
      </c>
      <c r="K36" t="s">
        <v>113</v>
      </c>
      <c r="L36">
        <v>75.936999999999998</v>
      </c>
      <c r="M36">
        <v>75.301000000000002</v>
      </c>
      <c r="N36">
        <v>45.830640000000002</v>
      </c>
      <c r="O36">
        <v>-129.73944</v>
      </c>
      <c r="P36">
        <v>8.9095999999999993</v>
      </c>
      <c r="Q36">
        <v>8.9105000000000008</v>
      </c>
      <c r="R36">
        <v>3.457608</v>
      </c>
      <c r="S36">
        <v>3.4586790000000001</v>
      </c>
      <c r="T36">
        <v>32.365600000000001</v>
      </c>
      <c r="U36">
        <v>32.375900000000001</v>
      </c>
      <c r="V36">
        <v>288.08121599999998</v>
      </c>
      <c r="W36">
        <v>293.79183899999998</v>
      </c>
      <c r="X36">
        <v>0.27979999999999999</v>
      </c>
      <c r="Y36">
        <v>0.1094</v>
      </c>
      <c r="Z36">
        <v>97.301100000000005</v>
      </c>
      <c r="AC36">
        <v>0.137679</v>
      </c>
      <c r="AD36">
        <v>6.8292000000000005E-2</v>
      </c>
      <c r="AE36">
        <v>1.658263</v>
      </c>
      <c r="AF36">
        <v>0.87646800000000002</v>
      </c>
      <c r="AG36">
        <v>4.6593999999999998</v>
      </c>
      <c r="AH36">
        <v>5.9097949999999999</v>
      </c>
      <c r="AI36">
        <v>0.74057200000000001</v>
      </c>
      <c r="AJ36">
        <v>0.58129900000000001</v>
      </c>
      <c r="AK36">
        <v>32.377021999999997</v>
      </c>
      <c r="AL36" t="s">
        <v>66</v>
      </c>
      <c r="AM36" t="s">
        <v>44</v>
      </c>
      <c r="AN36" t="s">
        <v>45</v>
      </c>
    </row>
    <row r="37" spans="1:40" x14ac:dyDescent="0.2">
      <c r="A37" t="s">
        <v>114</v>
      </c>
      <c r="B37" t="s">
        <v>94</v>
      </c>
      <c r="C37">
        <v>3</v>
      </c>
      <c r="D37">
        <v>50.488998000000002</v>
      </c>
      <c r="E37">
        <v>0</v>
      </c>
      <c r="F37">
        <v>371593.96875</v>
      </c>
      <c r="G37">
        <v>45.830666999999998</v>
      </c>
      <c r="H37">
        <v>-129.73949999999999</v>
      </c>
      <c r="I37" t="s">
        <v>94</v>
      </c>
      <c r="J37">
        <v>5000</v>
      </c>
      <c r="K37" t="s">
        <v>115</v>
      </c>
      <c r="L37">
        <v>50.911999999999999</v>
      </c>
      <c r="M37">
        <v>50.488999999999997</v>
      </c>
      <c r="N37">
        <v>45.830640000000002</v>
      </c>
      <c r="O37">
        <v>-129.73946000000001</v>
      </c>
      <c r="P37">
        <v>10.5304</v>
      </c>
      <c r="Q37">
        <v>10.620200000000001</v>
      </c>
      <c r="R37">
        <v>3.5958290000000002</v>
      </c>
      <c r="S37">
        <v>3.6048719999999999</v>
      </c>
      <c r="T37">
        <v>32.328299999999999</v>
      </c>
      <c r="U37">
        <v>32.338999999999999</v>
      </c>
      <c r="V37">
        <v>295.35626500000001</v>
      </c>
      <c r="W37">
        <v>283.60141099999998</v>
      </c>
      <c r="X37">
        <v>1.5382</v>
      </c>
      <c r="Y37">
        <v>0.20380000000000001</v>
      </c>
      <c r="Z37">
        <v>95.031800000000004</v>
      </c>
      <c r="AB37">
        <v>292.81767100000002</v>
      </c>
      <c r="AC37">
        <v>0.43471599999999999</v>
      </c>
      <c r="AD37">
        <v>0.23685600000000001</v>
      </c>
      <c r="AE37">
        <v>1.6374569999999999</v>
      </c>
      <c r="AF37">
        <v>0.68046799999999996</v>
      </c>
      <c r="AG37">
        <v>1.337048</v>
      </c>
      <c r="AH37">
        <v>3.177136</v>
      </c>
      <c r="AI37">
        <v>4.5664999999999997E-2</v>
      </c>
      <c r="AJ37">
        <v>0.71474499999999996</v>
      </c>
      <c r="AK37">
        <v>32.343195000000001</v>
      </c>
      <c r="AL37" t="s">
        <v>66</v>
      </c>
      <c r="AM37" t="s">
        <v>44</v>
      </c>
      <c r="AN37" t="s">
        <v>45</v>
      </c>
    </row>
    <row r="38" spans="1:40" x14ac:dyDescent="0.2">
      <c r="A38" t="s">
        <v>116</v>
      </c>
      <c r="B38" t="s">
        <v>94</v>
      </c>
      <c r="C38">
        <v>3</v>
      </c>
      <c r="D38">
        <v>10.220000000000001</v>
      </c>
      <c r="E38">
        <v>0</v>
      </c>
      <c r="F38">
        <v>371593.96875</v>
      </c>
      <c r="G38">
        <v>45.830666999999998</v>
      </c>
      <c r="H38">
        <v>-129.73949999999999</v>
      </c>
      <c r="I38" t="s">
        <v>94</v>
      </c>
      <c r="J38">
        <v>5000</v>
      </c>
      <c r="K38" t="s">
        <v>117</v>
      </c>
      <c r="L38">
        <v>10.305</v>
      </c>
      <c r="M38">
        <v>10.220000000000001</v>
      </c>
      <c r="N38">
        <v>45.830660000000002</v>
      </c>
      <c r="O38">
        <v>-129.73946000000001</v>
      </c>
      <c r="P38">
        <v>17.718399999999999</v>
      </c>
      <c r="Q38">
        <v>17.7285</v>
      </c>
      <c r="R38">
        <v>4.242299</v>
      </c>
      <c r="S38">
        <v>4.2446080000000004</v>
      </c>
      <c r="T38">
        <v>32.267299999999999</v>
      </c>
      <c r="U38">
        <v>32.2789</v>
      </c>
      <c r="V38">
        <v>251.77742699999999</v>
      </c>
      <c r="W38">
        <v>245.15172899999999</v>
      </c>
      <c r="X38">
        <v>0.37509999999999999</v>
      </c>
      <c r="Y38">
        <v>0.25040000000000001</v>
      </c>
      <c r="Z38">
        <v>93.931600000000003</v>
      </c>
      <c r="AC38">
        <v>0.190994</v>
      </c>
      <c r="AD38">
        <v>3.1133000000000001E-2</v>
      </c>
      <c r="AE38">
        <v>1.8467530000000001</v>
      </c>
      <c r="AF38">
        <v>0.39862599999999998</v>
      </c>
      <c r="AG38">
        <v>0.76460600000000001</v>
      </c>
      <c r="AH38">
        <v>3.6830000000000001E-3</v>
      </c>
      <c r="AI38">
        <v>0</v>
      </c>
      <c r="AJ38">
        <v>0.12997400000000001</v>
      </c>
      <c r="AK38">
        <v>32.281970999999999</v>
      </c>
      <c r="AL38" t="s">
        <v>66</v>
      </c>
      <c r="AM38" t="s">
        <v>44</v>
      </c>
      <c r="AN38" t="s">
        <v>45</v>
      </c>
    </row>
    <row r="39" spans="1:40" x14ac:dyDescent="0.2">
      <c r="A39" t="s">
        <v>118</v>
      </c>
      <c r="B39" t="s">
        <v>94</v>
      </c>
      <c r="C39">
        <v>3</v>
      </c>
      <c r="D39">
        <v>500.14401199999998</v>
      </c>
      <c r="E39">
        <v>0</v>
      </c>
      <c r="F39">
        <v>371593.96875</v>
      </c>
      <c r="G39">
        <v>45.830666999999998</v>
      </c>
      <c r="H39">
        <v>-129.73949999999999</v>
      </c>
      <c r="I39" t="s">
        <v>94</v>
      </c>
      <c r="J39">
        <v>5000</v>
      </c>
      <c r="K39" t="s">
        <v>119</v>
      </c>
      <c r="L39">
        <v>504.89100000000002</v>
      </c>
      <c r="M39">
        <v>500.14400000000001</v>
      </c>
      <c r="N39">
        <v>45.830640000000002</v>
      </c>
      <c r="O39">
        <v>-129.73946000000001</v>
      </c>
      <c r="P39">
        <v>4.6101999999999999</v>
      </c>
      <c r="Q39">
        <v>4.6093999999999999</v>
      </c>
      <c r="R39">
        <v>3.2501669999999998</v>
      </c>
      <c r="S39">
        <v>3.2509769999999998</v>
      </c>
      <c r="T39">
        <v>34.032499999999999</v>
      </c>
      <c r="U39">
        <v>34.042700000000004</v>
      </c>
      <c r="V39">
        <v>44.271061000000003</v>
      </c>
      <c r="W39">
        <v>320.91227400000002</v>
      </c>
      <c r="X39">
        <v>-2.5000000000000001E-2</v>
      </c>
      <c r="Y39">
        <v>6.8400000000000002E-2</v>
      </c>
      <c r="Z39">
        <v>98.304400000000001</v>
      </c>
      <c r="AF39">
        <v>2.8058939999999999</v>
      </c>
      <c r="AG39">
        <v>77.910698999999994</v>
      </c>
      <c r="AH39">
        <v>41.485717000000001</v>
      </c>
      <c r="AI39">
        <v>0</v>
      </c>
      <c r="AJ39">
        <v>-6.3E-5</v>
      </c>
      <c r="AK39">
        <v>34.030155000000001</v>
      </c>
      <c r="AL39" t="s">
        <v>66</v>
      </c>
      <c r="AM39" t="s">
        <v>44</v>
      </c>
      <c r="AN39" t="s">
        <v>45</v>
      </c>
    </row>
    <row r="40" spans="1:40" x14ac:dyDescent="0.2">
      <c r="A40" t="s">
        <v>120</v>
      </c>
      <c r="B40" t="s">
        <v>121</v>
      </c>
      <c r="C40">
        <v>11</v>
      </c>
      <c r="D40">
        <v>575.88800000000003</v>
      </c>
      <c r="E40">
        <v>0</v>
      </c>
      <c r="F40">
        <v>393017.96875</v>
      </c>
      <c r="G40">
        <v>45.926397999999999</v>
      </c>
      <c r="H40">
        <v>-129.97902300000001</v>
      </c>
      <c r="I40" t="s">
        <v>121</v>
      </c>
      <c r="J40">
        <v>5000</v>
      </c>
      <c r="K40" t="s">
        <v>122</v>
      </c>
      <c r="L40">
        <v>1538.2069080000001</v>
      </c>
      <c r="P40">
        <v>2.4596830000000001</v>
      </c>
      <c r="R40">
        <v>3.1483949999999998</v>
      </c>
      <c r="T40">
        <v>34.540163999999997</v>
      </c>
      <c r="AF40">
        <v>4.1437840000000001</v>
      </c>
      <c r="AG40">
        <v>286.69363700000002</v>
      </c>
      <c r="AH40">
        <v>29.570495999999999</v>
      </c>
      <c r="AI40">
        <v>0.31692500000000001</v>
      </c>
      <c r="AJ40">
        <v>0.98891399999999996</v>
      </c>
      <c r="AL40" t="s">
        <v>123</v>
      </c>
      <c r="AM40" t="s">
        <v>44</v>
      </c>
      <c r="AN40" t="s">
        <v>45</v>
      </c>
    </row>
    <row r="41" spans="1:40" x14ac:dyDescent="0.2">
      <c r="A41" t="s">
        <v>124</v>
      </c>
      <c r="B41" t="s">
        <v>125</v>
      </c>
      <c r="C41">
        <v>4</v>
      </c>
      <c r="D41">
        <v>2600.1689449999999</v>
      </c>
      <c r="E41">
        <v>0</v>
      </c>
      <c r="F41">
        <v>785761.4375</v>
      </c>
      <c r="G41">
        <v>44.535832999999997</v>
      </c>
      <c r="H41">
        <v>-125.380167</v>
      </c>
      <c r="I41" t="s">
        <v>125</v>
      </c>
      <c r="J41">
        <v>5000</v>
      </c>
      <c r="AL41" t="s">
        <v>126</v>
      </c>
      <c r="AM41" t="s">
        <v>44</v>
      </c>
      <c r="AN41" t="s">
        <v>45</v>
      </c>
    </row>
    <row r="42" spans="1:40" x14ac:dyDescent="0.2">
      <c r="A42" t="s">
        <v>127</v>
      </c>
      <c r="B42" t="s">
        <v>128</v>
      </c>
      <c r="C42">
        <v>5</v>
      </c>
      <c r="D42">
        <v>120.219002</v>
      </c>
      <c r="E42">
        <v>0</v>
      </c>
      <c r="F42">
        <v>785774.6875</v>
      </c>
      <c r="G42">
        <v>44.535832999999997</v>
      </c>
      <c r="H42">
        <v>-125.38033299999999</v>
      </c>
      <c r="I42" t="s">
        <v>128</v>
      </c>
      <c r="J42">
        <v>5000</v>
      </c>
      <c r="K42" t="s">
        <v>129</v>
      </c>
      <c r="L42">
        <v>121.233</v>
      </c>
      <c r="M42">
        <v>120.21899999999999</v>
      </c>
      <c r="N42">
        <v>44.535800000000002</v>
      </c>
      <c r="O42">
        <v>-125.38024</v>
      </c>
      <c r="P42">
        <v>8.1057000000000006</v>
      </c>
      <c r="Q42">
        <v>8.0995000000000008</v>
      </c>
      <c r="R42">
        <v>3.5307119999999999</v>
      </c>
      <c r="S42">
        <v>3.5313289999999999</v>
      </c>
      <c r="T42">
        <v>33.868699999999997</v>
      </c>
      <c r="U42">
        <v>33.8812</v>
      </c>
      <c r="V42">
        <v>115.257496</v>
      </c>
      <c r="W42">
        <v>296.21774799999997</v>
      </c>
      <c r="X42">
        <v>-4.2999999999999997E-2</v>
      </c>
      <c r="Y42">
        <v>0.10630000000000001</v>
      </c>
      <c r="Z42">
        <v>97.376400000000004</v>
      </c>
      <c r="AA42">
        <v>7.819</v>
      </c>
      <c r="AB42">
        <v>114.70065099999999</v>
      </c>
      <c r="AL42" t="s">
        <v>130</v>
      </c>
      <c r="AM42" t="s">
        <v>44</v>
      </c>
      <c r="AN42" t="s">
        <v>45</v>
      </c>
    </row>
    <row r="43" spans="1:40" x14ac:dyDescent="0.2">
      <c r="A43" t="s">
        <v>131</v>
      </c>
      <c r="B43" t="s">
        <v>128</v>
      </c>
      <c r="C43">
        <v>5</v>
      </c>
      <c r="D43">
        <v>220.044006</v>
      </c>
      <c r="E43">
        <v>0</v>
      </c>
      <c r="F43">
        <v>785774.6875</v>
      </c>
      <c r="G43">
        <v>44.535832999999997</v>
      </c>
      <c r="H43">
        <v>-125.38033299999999</v>
      </c>
      <c r="I43" t="s">
        <v>128</v>
      </c>
      <c r="J43">
        <v>5000</v>
      </c>
      <c r="K43" t="s">
        <v>132</v>
      </c>
      <c r="L43">
        <v>221.95400000000001</v>
      </c>
      <c r="M43">
        <v>220.04400000000001</v>
      </c>
      <c r="N43">
        <v>44.535800000000002</v>
      </c>
      <c r="O43">
        <v>-125.38024</v>
      </c>
      <c r="P43">
        <v>6.984</v>
      </c>
      <c r="Q43">
        <v>6.9837999999999996</v>
      </c>
      <c r="R43">
        <v>3.4453429999999998</v>
      </c>
      <c r="S43">
        <v>3.4462679999999999</v>
      </c>
      <c r="T43">
        <v>33.991799999999998</v>
      </c>
      <c r="U43">
        <v>34.002200000000002</v>
      </c>
      <c r="V43">
        <v>85.192653000000007</v>
      </c>
      <c r="W43">
        <v>303.61784399999999</v>
      </c>
      <c r="X43">
        <v>-3.1399999999999997E-2</v>
      </c>
      <c r="Y43">
        <v>0.10290000000000001</v>
      </c>
      <c r="Z43">
        <v>97.460499999999996</v>
      </c>
      <c r="AA43">
        <v>7.7590000000000003</v>
      </c>
      <c r="AF43">
        <v>2.327251</v>
      </c>
      <c r="AG43">
        <v>49.065961000000001</v>
      </c>
      <c r="AH43">
        <v>33.399206</v>
      </c>
      <c r="AI43">
        <v>0</v>
      </c>
      <c r="AJ43">
        <v>2.3E-5</v>
      </c>
      <c r="AK43">
        <v>33.994107999999997</v>
      </c>
      <c r="AL43" t="s">
        <v>130</v>
      </c>
      <c r="AM43" t="s">
        <v>44</v>
      </c>
      <c r="AN43" t="s">
        <v>45</v>
      </c>
    </row>
    <row r="44" spans="1:40" x14ac:dyDescent="0.2">
      <c r="A44" t="s">
        <v>133</v>
      </c>
      <c r="B44" t="s">
        <v>128</v>
      </c>
      <c r="C44">
        <v>5</v>
      </c>
      <c r="D44">
        <v>200.30900600000001</v>
      </c>
      <c r="E44">
        <v>0</v>
      </c>
      <c r="F44">
        <v>785774.6875</v>
      </c>
      <c r="G44">
        <v>44.535832999999997</v>
      </c>
      <c r="H44">
        <v>-125.38033299999999</v>
      </c>
      <c r="I44" t="s">
        <v>128</v>
      </c>
      <c r="J44">
        <v>5000</v>
      </c>
      <c r="K44" t="s">
        <v>134</v>
      </c>
      <c r="L44">
        <v>202.03899999999999</v>
      </c>
      <c r="M44">
        <v>200.309</v>
      </c>
      <c r="N44">
        <v>44.535800000000002</v>
      </c>
      <c r="O44">
        <v>-125.38026000000001</v>
      </c>
      <c r="P44">
        <v>7.1695000000000002</v>
      </c>
      <c r="Q44">
        <v>7.1696</v>
      </c>
      <c r="R44">
        <v>3.4600919999999999</v>
      </c>
      <c r="S44">
        <v>3.4610439999999998</v>
      </c>
      <c r="T44">
        <v>33.980200000000004</v>
      </c>
      <c r="U44">
        <v>33.990499999999997</v>
      </c>
      <c r="V44">
        <v>93.168858</v>
      </c>
      <c r="W44">
        <v>302.35308400000002</v>
      </c>
      <c r="X44">
        <v>-2.5000000000000001E-2</v>
      </c>
      <c r="Y44">
        <v>0.1031</v>
      </c>
      <c r="Z44">
        <v>97.456100000000006</v>
      </c>
      <c r="AA44">
        <v>7.7750000000000004</v>
      </c>
      <c r="AF44">
        <v>2.2590889999999999</v>
      </c>
      <c r="AG44">
        <v>45.781132999999997</v>
      </c>
      <c r="AH44">
        <v>32.379396</v>
      </c>
      <c r="AI44">
        <v>0</v>
      </c>
      <c r="AJ44">
        <v>2.4000000000000001E-5</v>
      </c>
      <c r="AL44" t="s">
        <v>130</v>
      </c>
      <c r="AM44" t="s">
        <v>44</v>
      </c>
      <c r="AN44" t="s">
        <v>45</v>
      </c>
    </row>
    <row r="45" spans="1:40" x14ac:dyDescent="0.2">
      <c r="A45" t="s">
        <v>135</v>
      </c>
      <c r="B45" t="s">
        <v>128</v>
      </c>
      <c r="C45">
        <v>5</v>
      </c>
      <c r="D45">
        <v>179.912003</v>
      </c>
      <c r="E45">
        <v>0</v>
      </c>
      <c r="F45">
        <v>785774.6875</v>
      </c>
      <c r="G45">
        <v>44.535832999999997</v>
      </c>
      <c r="H45">
        <v>-125.38033299999999</v>
      </c>
      <c r="I45" t="s">
        <v>128</v>
      </c>
      <c r="J45">
        <v>5000</v>
      </c>
      <c r="K45" t="s">
        <v>136</v>
      </c>
      <c r="L45">
        <v>181.45599999999999</v>
      </c>
      <c r="M45">
        <v>179.91200000000001</v>
      </c>
      <c r="N45">
        <v>44.535789999999999</v>
      </c>
      <c r="O45">
        <v>-125.38024</v>
      </c>
      <c r="P45">
        <v>7.4280999999999997</v>
      </c>
      <c r="Q45">
        <v>7.423</v>
      </c>
      <c r="R45">
        <v>3.4812859999999999</v>
      </c>
      <c r="S45">
        <v>3.4817870000000002</v>
      </c>
      <c r="T45">
        <v>33.967100000000002</v>
      </c>
      <c r="U45">
        <v>33.977499999999999</v>
      </c>
      <c r="V45">
        <v>99.979446999999993</v>
      </c>
      <c r="W45">
        <v>300.600641</v>
      </c>
      <c r="X45">
        <v>-2.5000000000000001E-2</v>
      </c>
      <c r="Y45">
        <v>0.1042</v>
      </c>
      <c r="Z45">
        <v>97.429199999999994</v>
      </c>
      <c r="AA45">
        <v>7.7869999999999999</v>
      </c>
      <c r="AF45">
        <v>2.1854469999999999</v>
      </c>
      <c r="AG45">
        <v>42.736583000000003</v>
      </c>
      <c r="AH45">
        <v>31.382895000000001</v>
      </c>
      <c r="AI45">
        <v>0</v>
      </c>
      <c r="AJ45">
        <v>2.5000000000000001E-5</v>
      </c>
      <c r="AK45">
        <v>33.969427000000003</v>
      </c>
      <c r="AL45" t="s">
        <v>130</v>
      </c>
      <c r="AM45" t="s">
        <v>44</v>
      </c>
      <c r="AN45" t="s">
        <v>45</v>
      </c>
    </row>
    <row r="46" spans="1:40" x14ac:dyDescent="0.2">
      <c r="A46" t="s">
        <v>137</v>
      </c>
      <c r="B46" t="s">
        <v>128</v>
      </c>
      <c r="C46">
        <v>5</v>
      </c>
      <c r="D46">
        <v>161.41499300000001</v>
      </c>
      <c r="E46">
        <v>0</v>
      </c>
      <c r="F46">
        <v>785774.6875</v>
      </c>
      <c r="G46">
        <v>44.535832999999997</v>
      </c>
      <c r="H46">
        <v>-125.38033299999999</v>
      </c>
      <c r="I46" t="s">
        <v>128</v>
      </c>
      <c r="J46">
        <v>5000</v>
      </c>
      <c r="K46" t="s">
        <v>138</v>
      </c>
      <c r="L46">
        <v>162.79300000000001</v>
      </c>
      <c r="M46">
        <v>161.41499999999999</v>
      </c>
      <c r="N46">
        <v>44.535780000000003</v>
      </c>
      <c r="O46">
        <v>-125.38026000000001</v>
      </c>
      <c r="P46">
        <v>7.6696</v>
      </c>
      <c r="Q46">
        <v>7.6696</v>
      </c>
      <c r="R46">
        <v>3.5020370000000001</v>
      </c>
      <c r="S46">
        <v>3.5030100000000002</v>
      </c>
      <c r="T46">
        <v>33.964599999999997</v>
      </c>
      <c r="U46">
        <v>33.975099999999998</v>
      </c>
      <c r="V46">
        <v>104.963458</v>
      </c>
      <c r="W46">
        <v>298.961634</v>
      </c>
      <c r="X46">
        <v>-2.5000000000000001E-2</v>
      </c>
      <c r="Y46">
        <v>0.1045</v>
      </c>
      <c r="Z46">
        <v>97.421199999999999</v>
      </c>
      <c r="AA46">
        <v>7.8029999999999999</v>
      </c>
      <c r="AF46">
        <v>2.1260309999999998</v>
      </c>
      <c r="AG46">
        <v>40.410932000000003</v>
      </c>
      <c r="AH46">
        <v>30.462463</v>
      </c>
      <c r="AI46">
        <v>0</v>
      </c>
      <c r="AJ46">
        <v>2.5999999999999998E-5</v>
      </c>
      <c r="AL46" t="s">
        <v>130</v>
      </c>
      <c r="AM46" t="s">
        <v>44</v>
      </c>
      <c r="AN46" t="s">
        <v>45</v>
      </c>
    </row>
    <row r="47" spans="1:40" x14ac:dyDescent="0.2">
      <c r="A47" t="s">
        <v>139</v>
      </c>
      <c r="B47" t="s">
        <v>128</v>
      </c>
      <c r="C47">
        <v>5</v>
      </c>
      <c r="D47">
        <v>140.554001</v>
      </c>
      <c r="E47">
        <v>0</v>
      </c>
      <c r="F47">
        <v>785774.6875</v>
      </c>
      <c r="G47">
        <v>44.535832999999997</v>
      </c>
      <c r="H47">
        <v>-125.38033299999999</v>
      </c>
      <c r="I47" t="s">
        <v>128</v>
      </c>
      <c r="J47">
        <v>5000</v>
      </c>
      <c r="K47" t="s">
        <v>140</v>
      </c>
      <c r="L47">
        <v>141.74700000000001</v>
      </c>
      <c r="M47">
        <v>140.554</v>
      </c>
      <c r="N47">
        <v>44.535820000000001</v>
      </c>
      <c r="O47">
        <v>-125.38028</v>
      </c>
      <c r="P47">
        <v>7.8578000000000001</v>
      </c>
      <c r="Q47">
        <v>7.8556999999999997</v>
      </c>
      <c r="R47">
        <v>3.5126270000000002</v>
      </c>
      <c r="S47">
        <v>3.513471</v>
      </c>
      <c r="T47">
        <v>33.905500000000004</v>
      </c>
      <c r="U47">
        <v>33.916600000000003</v>
      </c>
      <c r="V47">
        <v>126.145506</v>
      </c>
      <c r="W47">
        <v>297.80628999999999</v>
      </c>
      <c r="X47">
        <v>-3.1399999999999997E-2</v>
      </c>
      <c r="Y47">
        <v>0.1032</v>
      </c>
      <c r="Z47">
        <v>97.452500000000001</v>
      </c>
      <c r="AA47">
        <v>7.843</v>
      </c>
      <c r="AK47">
        <v>33.984704999999998</v>
      </c>
      <c r="AL47" t="s">
        <v>130</v>
      </c>
      <c r="AM47" t="s">
        <v>44</v>
      </c>
      <c r="AN47" t="s">
        <v>45</v>
      </c>
    </row>
    <row r="48" spans="1:40" x14ac:dyDescent="0.2">
      <c r="A48" t="s">
        <v>141</v>
      </c>
      <c r="B48" t="s">
        <v>128</v>
      </c>
      <c r="C48">
        <v>5</v>
      </c>
      <c r="D48">
        <v>119.843002</v>
      </c>
      <c r="E48">
        <v>0</v>
      </c>
      <c r="F48">
        <v>785774.6875</v>
      </c>
      <c r="G48">
        <v>44.535832999999997</v>
      </c>
      <c r="H48">
        <v>-125.38033299999999</v>
      </c>
      <c r="I48" t="s">
        <v>128</v>
      </c>
      <c r="J48">
        <v>5000</v>
      </c>
      <c r="K48" t="s">
        <v>142</v>
      </c>
      <c r="L48">
        <v>120.854</v>
      </c>
      <c r="M48">
        <v>119.843</v>
      </c>
      <c r="N48">
        <v>44.535800000000002</v>
      </c>
      <c r="O48">
        <v>-125.38021999999999</v>
      </c>
      <c r="P48">
        <v>8.1011000000000006</v>
      </c>
      <c r="Q48">
        <v>8.0901999999999994</v>
      </c>
      <c r="R48">
        <v>3.5304150000000001</v>
      </c>
      <c r="S48">
        <v>3.5307309999999998</v>
      </c>
      <c r="T48">
        <v>33.870100000000001</v>
      </c>
      <c r="U48">
        <v>33.884</v>
      </c>
      <c r="V48">
        <v>115.29768900000001</v>
      </c>
      <c r="W48">
        <v>296.24588399999999</v>
      </c>
      <c r="X48">
        <v>-2.53E-2</v>
      </c>
      <c r="Y48">
        <v>0.1065</v>
      </c>
      <c r="Z48">
        <v>97.371700000000004</v>
      </c>
      <c r="AA48">
        <v>7.819</v>
      </c>
      <c r="AB48">
        <v>113.323409</v>
      </c>
      <c r="AF48">
        <v>2.0206559999999998</v>
      </c>
      <c r="AG48">
        <v>35.380989999999997</v>
      </c>
      <c r="AH48">
        <v>28.873176999999998</v>
      </c>
      <c r="AI48">
        <v>0</v>
      </c>
      <c r="AJ48">
        <v>2.6999999999999999E-5</v>
      </c>
      <c r="AL48" t="s">
        <v>130</v>
      </c>
      <c r="AM48" t="s">
        <v>44</v>
      </c>
      <c r="AN48" t="s">
        <v>45</v>
      </c>
    </row>
    <row r="49" spans="1:40" x14ac:dyDescent="0.2">
      <c r="A49" t="s">
        <v>143</v>
      </c>
      <c r="B49" t="s">
        <v>128</v>
      </c>
      <c r="C49">
        <v>5</v>
      </c>
      <c r="D49">
        <v>39.894001000000003</v>
      </c>
      <c r="E49">
        <v>0</v>
      </c>
      <c r="F49">
        <v>785774.6875</v>
      </c>
      <c r="G49">
        <v>44.535832999999997</v>
      </c>
      <c r="H49">
        <v>-125.38033299999999</v>
      </c>
      <c r="I49" t="s">
        <v>128</v>
      </c>
      <c r="J49">
        <v>5000</v>
      </c>
      <c r="K49" t="s">
        <v>144</v>
      </c>
      <c r="L49">
        <v>40.222999999999999</v>
      </c>
      <c r="M49">
        <v>39.893999999999998</v>
      </c>
      <c r="N49">
        <v>44.535800000000002</v>
      </c>
      <c r="O49">
        <v>-125.38024</v>
      </c>
      <c r="P49">
        <v>8.5277999999999992</v>
      </c>
      <c r="Q49">
        <v>8.5251000000000001</v>
      </c>
      <c r="R49">
        <v>3.4246660000000002</v>
      </c>
      <c r="S49">
        <v>3.4255870000000002</v>
      </c>
      <c r="T49">
        <v>32.386600000000001</v>
      </c>
      <c r="U49">
        <v>32.398699999999998</v>
      </c>
      <c r="V49">
        <v>255.11349899999999</v>
      </c>
      <c r="W49">
        <v>296.26598100000001</v>
      </c>
      <c r="X49">
        <v>0.77110000000000001</v>
      </c>
      <c r="Y49">
        <v>0.1857</v>
      </c>
      <c r="Z49">
        <v>95.462999999999994</v>
      </c>
      <c r="AA49">
        <v>8.08</v>
      </c>
      <c r="AC49">
        <v>0.69718500000000005</v>
      </c>
      <c r="AD49">
        <v>0.30440299999999998</v>
      </c>
      <c r="AE49">
        <v>1.685484</v>
      </c>
      <c r="AF49">
        <v>1.0872120000000001</v>
      </c>
      <c r="AG49">
        <v>10.429129</v>
      </c>
      <c r="AH49">
        <v>11.040387000000001</v>
      </c>
      <c r="AI49">
        <v>7.6977000000000004E-2</v>
      </c>
      <c r="AJ49">
        <v>7.8647999999999996E-2</v>
      </c>
      <c r="AL49" t="s">
        <v>130</v>
      </c>
      <c r="AM49" t="s">
        <v>44</v>
      </c>
      <c r="AN49" t="s">
        <v>45</v>
      </c>
    </row>
    <row r="50" spans="1:40" x14ac:dyDescent="0.2">
      <c r="A50" t="s">
        <v>145</v>
      </c>
      <c r="B50" t="s">
        <v>128</v>
      </c>
      <c r="C50">
        <v>5</v>
      </c>
      <c r="D50">
        <v>80.941001999999997</v>
      </c>
      <c r="E50">
        <v>0</v>
      </c>
      <c r="F50">
        <v>785774.6875</v>
      </c>
      <c r="G50">
        <v>44.535832999999997</v>
      </c>
      <c r="H50">
        <v>-125.38033299999999</v>
      </c>
      <c r="I50" t="s">
        <v>128</v>
      </c>
      <c r="J50">
        <v>5000</v>
      </c>
      <c r="K50" t="s">
        <v>146</v>
      </c>
      <c r="L50">
        <v>81.616</v>
      </c>
      <c r="M50">
        <v>80.941000000000003</v>
      </c>
      <c r="N50">
        <v>44.535780000000003</v>
      </c>
      <c r="O50">
        <v>-125.38025</v>
      </c>
      <c r="P50">
        <v>8.2791999999999994</v>
      </c>
      <c r="Q50">
        <v>8.2789999999999999</v>
      </c>
      <c r="R50">
        <v>3.4886509999999999</v>
      </c>
      <c r="S50">
        <v>3.489563</v>
      </c>
      <c r="T50">
        <v>33.2742</v>
      </c>
      <c r="U50">
        <v>33.283999999999999</v>
      </c>
      <c r="V50">
        <v>163.48986400000001</v>
      </c>
      <c r="W50">
        <v>296.20970999999997</v>
      </c>
      <c r="X50">
        <v>8.5000000000000006E-3</v>
      </c>
      <c r="Y50">
        <v>0.1129</v>
      </c>
      <c r="Z50">
        <v>97.216099999999997</v>
      </c>
      <c r="AA50">
        <v>7.8940000000000001</v>
      </c>
      <c r="AC50">
        <v>4.1597000000000002E-2</v>
      </c>
      <c r="AD50">
        <v>7.8409000000000006E-2</v>
      </c>
      <c r="AE50">
        <v>1.3413459999999999</v>
      </c>
      <c r="AF50">
        <v>1.734351</v>
      </c>
      <c r="AG50">
        <v>25.445920000000001</v>
      </c>
      <c r="AH50">
        <v>23.310355000000001</v>
      </c>
      <c r="AI50">
        <v>0</v>
      </c>
      <c r="AJ50">
        <v>2.9E-5</v>
      </c>
      <c r="AL50" t="s">
        <v>130</v>
      </c>
      <c r="AM50" t="s">
        <v>44</v>
      </c>
      <c r="AN50" t="s">
        <v>45</v>
      </c>
    </row>
    <row r="51" spans="1:40" x14ac:dyDescent="0.2">
      <c r="A51" t="s">
        <v>147</v>
      </c>
      <c r="B51" t="s">
        <v>128</v>
      </c>
      <c r="C51">
        <v>5</v>
      </c>
      <c r="D51">
        <v>20.225000000000001</v>
      </c>
      <c r="E51">
        <v>0</v>
      </c>
      <c r="F51">
        <v>785774.6875</v>
      </c>
      <c r="G51">
        <v>44.535832999999997</v>
      </c>
      <c r="H51">
        <v>-125.38033299999999</v>
      </c>
      <c r="I51" t="s">
        <v>128</v>
      </c>
      <c r="J51">
        <v>5000</v>
      </c>
      <c r="K51" t="s">
        <v>148</v>
      </c>
      <c r="L51">
        <v>20.390999999999998</v>
      </c>
      <c r="M51">
        <v>20.225000000000001</v>
      </c>
      <c r="N51">
        <v>44.535800000000002</v>
      </c>
      <c r="O51">
        <v>-125.38026000000001</v>
      </c>
      <c r="P51">
        <v>11.1051</v>
      </c>
      <c r="Q51">
        <v>11.0954</v>
      </c>
      <c r="R51">
        <v>3.6254940000000002</v>
      </c>
      <c r="S51">
        <v>3.6258629999999998</v>
      </c>
      <c r="T51">
        <v>32.1297</v>
      </c>
      <c r="U51">
        <v>32.141800000000003</v>
      </c>
      <c r="V51">
        <v>282.422844</v>
      </c>
      <c r="W51">
        <v>280.47122000000002</v>
      </c>
      <c r="X51">
        <v>1.2253000000000001</v>
      </c>
      <c r="Y51">
        <v>0.24829999999999999</v>
      </c>
      <c r="Z51">
        <v>93.982299999999995</v>
      </c>
      <c r="AA51">
        <v>8.1809999999999992</v>
      </c>
      <c r="AB51">
        <v>275.52387800000002</v>
      </c>
      <c r="AL51" t="s">
        <v>130</v>
      </c>
      <c r="AM51" t="s">
        <v>44</v>
      </c>
      <c r="AN51" t="s">
        <v>45</v>
      </c>
    </row>
    <row r="52" spans="1:40" x14ac:dyDescent="0.2">
      <c r="A52" t="s">
        <v>149</v>
      </c>
      <c r="B52" t="s">
        <v>128</v>
      </c>
      <c r="C52">
        <v>5</v>
      </c>
      <c r="D52">
        <v>20.5</v>
      </c>
      <c r="E52">
        <v>0</v>
      </c>
      <c r="F52">
        <v>785774.6875</v>
      </c>
      <c r="G52">
        <v>44.535832999999997</v>
      </c>
      <c r="H52">
        <v>-125.38033299999999</v>
      </c>
      <c r="I52" t="s">
        <v>128</v>
      </c>
      <c r="J52">
        <v>5000</v>
      </c>
      <c r="K52" t="s">
        <v>150</v>
      </c>
      <c r="L52">
        <v>20.667999999999999</v>
      </c>
      <c r="M52">
        <v>20.5</v>
      </c>
      <c r="N52">
        <v>44.535800000000002</v>
      </c>
      <c r="O52">
        <v>-125.38026000000001</v>
      </c>
      <c r="P52">
        <v>10.892799999999999</v>
      </c>
      <c r="Q52">
        <v>10.936199999999999</v>
      </c>
      <c r="R52">
        <v>3.6073719999999998</v>
      </c>
      <c r="S52">
        <v>3.6125750000000001</v>
      </c>
      <c r="T52">
        <v>32.136400000000002</v>
      </c>
      <c r="U52">
        <v>32.149900000000002</v>
      </c>
      <c r="V52">
        <v>283.41875399999998</v>
      </c>
      <c r="W52">
        <v>281.73999900000001</v>
      </c>
      <c r="X52">
        <v>1.2161999999999999</v>
      </c>
      <c r="Y52">
        <v>0.25159999999999999</v>
      </c>
      <c r="Z52">
        <v>93.904200000000003</v>
      </c>
      <c r="AA52">
        <v>8.1859999999999999</v>
      </c>
      <c r="AB52">
        <v>294.52732700000001</v>
      </c>
      <c r="AC52">
        <v>0.93206599999999995</v>
      </c>
      <c r="AD52">
        <v>0.54283300000000001</v>
      </c>
      <c r="AE52">
        <v>1.622333</v>
      </c>
      <c r="AK52">
        <v>32.152583</v>
      </c>
      <c r="AL52" t="s">
        <v>130</v>
      </c>
      <c r="AM52" t="s">
        <v>44</v>
      </c>
      <c r="AN52" t="s">
        <v>45</v>
      </c>
    </row>
    <row r="53" spans="1:40" x14ac:dyDescent="0.2">
      <c r="A53" t="s">
        <v>151</v>
      </c>
      <c r="B53" t="s">
        <v>128</v>
      </c>
      <c r="C53">
        <v>5</v>
      </c>
      <c r="D53">
        <v>99.818000999999995</v>
      </c>
      <c r="E53">
        <v>0</v>
      </c>
      <c r="F53">
        <v>785774.6875</v>
      </c>
      <c r="G53">
        <v>44.535832999999997</v>
      </c>
      <c r="H53">
        <v>-125.38033299999999</v>
      </c>
      <c r="I53" t="s">
        <v>128</v>
      </c>
      <c r="J53">
        <v>5000</v>
      </c>
      <c r="K53" t="s">
        <v>152</v>
      </c>
      <c r="L53">
        <v>100.65600000000001</v>
      </c>
      <c r="M53">
        <v>99.817999999999998</v>
      </c>
      <c r="N53">
        <v>44.535800000000002</v>
      </c>
      <c r="O53">
        <v>-125.38026000000001</v>
      </c>
      <c r="P53">
        <v>8.2844999999999995</v>
      </c>
      <c r="Q53">
        <v>8.2832000000000008</v>
      </c>
      <c r="R53">
        <v>3.5335230000000002</v>
      </c>
      <c r="S53">
        <v>3.5344000000000002</v>
      </c>
      <c r="T53">
        <v>33.736199999999997</v>
      </c>
      <c r="U53">
        <v>33.746699999999997</v>
      </c>
      <c r="V53">
        <v>127.056562</v>
      </c>
      <c r="W53">
        <v>295.28570200000001</v>
      </c>
      <c r="X53">
        <v>-2.5000000000000001E-2</v>
      </c>
      <c r="Y53">
        <v>0.1075</v>
      </c>
      <c r="Z53">
        <v>97.348399999999998</v>
      </c>
      <c r="AA53">
        <v>7.835</v>
      </c>
      <c r="AC53">
        <v>1.4647E-2</v>
      </c>
      <c r="AD53">
        <v>5.6318E-2</v>
      </c>
      <c r="AE53">
        <v>1.203252</v>
      </c>
      <c r="AF53">
        <v>1.9371590000000001</v>
      </c>
      <c r="AG53">
        <v>31.241033999999999</v>
      </c>
      <c r="AH53">
        <v>27.172249999999998</v>
      </c>
      <c r="AI53">
        <v>0</v>
      </c>
      <c r="AJ53">
        <v>2.8E-5</v>
      </c>
      <c r="AK53">
        <v>33.726681999999997</v>
      </c>
      <c r="AL53" t="s">
        <v>130</v>
      </c>
      <c r="AM53" t="s">
        <v>44</v>
      </c>
      <c r="AN53" t="s">
        <v>45</v>
      </c>
    </row>
    <row r="54" spans="1:40" x14ac:dyDescent="0.2">
      <c r="A54" t="s">
        <v>153</v>
      </c>
      <c r="B54" t="s">
        <v>128</v>
      </c>
      <c r="C54">
        <v>5</v>
      </c>
      <c r="D54">
        <v>60.228000999999999</v>
      </c>
      <c r="E54">
        <v>0</v>
      </c>
      <c r="F54">
        <v>785774.6875</v>
      </c>
      <c r="G54">
        <v>44.535832999999997</v>
      </c>
      <c r="H54">
        <v>-125.38033299999999</v>
      </c>
      <c r="I54" t="s">
        <v>128</v>
      </c>
      <c r="J54">
        <v>5000</v>
      </c>
      <c r="K54" t="s">
        <v>154</v>
      </c>
      <c r="L54">
        <v>60.726999999999997</v>
      </c>
      <c r="M54">
        <v>60.228000000000002</v>
      </c>
      <c r="N54">
        <v>44.535780000000003</v>
      </c>
      <c r="O54">
        <v>-125.38026000000001</v>
      </c>
      <c r="P54">
        <v>8.4632000000000005</v>
      </c>
      <c r="Q54">
        <v>8.4636999999999993</v>
      </c>
      <c r="R54">
        <v>3.4587599999999998</v>
      </c>
      <c r="S54">
        <v>3.4599709999999999</v>
      </c>
      <c r="T54">
        <v>32.795400000000001</v>
      </c>
      <c r="U54">
        <v>32.807699999999997</v>
      </c>
      <c r="V54">
        <v>213.82123300000001</v>
      </c>
      <c r="W54">
        <v>295.908704</v>
      </c>
      <c r="X54">
        <v>0.1575</v>
      </c>
      <c r="Y54">
        <v>0.1192</v>
      </c>
      <c r="Z54">
        <v>97.063599999999994</v>
      </c>
      <c r="AA54">
        <v>7.9969999999999999</v>
      </c>
      <c r="AB54">
        <v>213.051264</v>
      </c>
      <c r="AL54" t="s">
        <v>130</v>
      </c>
      <c r="AM54" t="s">
        <v>44</v>
      </c>
      <c r="AN54" t="s">
        <v>45</v>
      </c>
    </row>
    <row r="55" spans="1:40" x14ac:dyDescent="0.2">
      <c r="A55" t="s">
        <v>155</v>
      </c>
      <c r="B55" t="s">
        <v>128</v>
      </c>
      <c r="C55">
        <v>5</v>
      </c>
      <c r="D55">
        <v>60.758999000000003</v>
      </c>
      <c r="E55">
        <v>0</v>
      </c>
      <c r="F55">
        <v>785774.6875</v>
      </c>
      <c r="G55">
        <v>44.535832999999997</v>
      </c>
      <c r="H55">
        <v>-125.38033299999999</v>
      </c>
      <c r="I55" t="s">
        <v>128</v>
      </c>
      <c r="J55">
        <v>5000</v>
      </c>
      <c r="K55" t="s">
        <v>156</v>
      </c>
      <c r="L55">
        <v>61.262</v>
      </c>
      <c r="M55">
        <v>60.759</v>
      </c>
      <c r="N55">
        <v>44.535780000000003</v>
      </c>
      <c r="O55">
        <v>-125.38026000000001</v>
      </c>
      <c r="P55">
        <v>8.4590999999999994</v>
      </c>
      <c r="Q55">
        <v>8.4582999999999995</v>
      </c>
      <c r="R55">
        <v>3.4584679999999999</v>
      </c>
      <c r="S55">
        <v>3.4594269999999998</v>
      </c>
      <c r="T55">
        <v>32.795900000000003</v>
      </c>
      <c r="U55">
        <v>32.806699999999999</v>
      </c>
      <c r="V55">
        <v>213.90162000000001</v>
      </c>
      <c r="W55">
        <v>295.93549999999999</v>
      </c>
      <c r="X55">
        <v>0.14360000000000001</v>
      </c>
      <c r="Y55">
        <v>0.1205</v>
      </c>
      <c r="Z55">
        <v>97.0321</v>
      </c>
      <c r="AA55">
        <v>7.9969999999999999</v>
      </c>
      <c r="AB55">
        <v>209.25618800000001</v>
      </c>
      <c r="AC55">
        <v>0.212085</v>
      </c>
      <c r="AD55">
        <v>0.129471</v>
      </c>
      <c r="AE55">
        <v>1.611486</v>
      </c>
      <c r="AF55">
        <v>1.4146620000000001</v>
      </c>
      <c r="AG55">
        <v>16.675014999999998</v>
      </c>
      <c r="AH55">
        <v>17.103441</v>
      </c>
      <c r="AI55">
        <v>2.1956E-2</v>
      </c>
      <c r="AJ55">
        <v>3.0000000000000001E-5</v>
      </c>
      <c r="AK55">
        <v>32.814728000000002</v>
      </c>
      <c r="AL55" t="s">
        <v>130</v>
      </c>
      <c r="AM55" t="s">
        <v>44</v>
      </c>
      <c r="AN55" t="s">
        <v>45</v>
      </c>
    </row>
    <row r="56" spans="1:40" x14ac:dyDescent="0.2">
      <c r="A56" t="s">
        <v>157</v>
      </c>
      <c r="B56" t="s">
        <v>128</v>
      </c>
      <c r="C56">
        <v>5</v>
      </c>
      <c r="D56">
        <v>10.46</v>
      </c>
      <c r="E56">
        <v>0</v>
      </c>
      <c r="F56">
        <v>785774.6875</v>
      </c>
      <c r="G56">
        <v>44.535832999999997</v>
      </c>
      <c r="H56">
        <v>-125.38033299999999</v>
      </c>
      <c r="I56" t="s">
        <v>128</v>
      </c>
      <c r="J56">
        <v>5000</v>
      </c>
      <c r="K56" t="s">
        <v>158</v>
      </c>
      <c r="L56">
        <v>10.545</v>
      </c>
      <c r="M56">
        <v>10.46</v>
      </c>
      <c r="N56">
        <v>44.535800000000002</v>
      </c>
      <c r="O56">
        <v>-125.38027</v>
      </c>
      <c r="P56">
        <v>15.738099999999999</v>
      </c>
      <c r="Q56">
        <v>15.7377</v>
      </c>
      <c r="R56">
        <v>4.0021050000000002</v>
      </c>
      <c r="S56">
        <v>4.0033989999999999</v>
      </c>
      <c r="T56">
        <v>31.766100000000002</v>
      </c>
      <c r="U56">
        <v>31.777799999999999</v>
      </c>
      <c r="V56">
        <v>275.22371700000002</v>
      </c>
      <c r="W56">
        <v>255.551163</v>
      </c>
      <c r="X56">
        <v>0.34549999999999997</v>
      </c>
      <c r="Y56">
        <v>0.28810000000000002</v>
      </c>
      <c r="Z56">
        <v>93.049499999999995</v>
      </c>
      <c r="AA56">
        <v>8.3689999999999998</v>
      </c>
      <c r="AC56">
        <v>0.39663399999999999</v>
      </c>
      <c r="AD56">
        <v>0.105314</v>
      </c>
      <c r="AE56">
        <v>1.7781610000000001</v>
      </c>
      <c r="AF56">
        <v>0.22270499999999999</v>
      </c>
      <c r="AG56">
        <v>2.3090039999999998</v>
      </c>
      <c r="AH56">
        <v>0.01</v>
      </c>
      <c r="AI56">
        <v>0</v>
      </c>
      <c r="AJ56">
        <v>3.1999999999999999E-5</v>
      </c>
      <c r="AL56" t="s">
        <v>130</v>
      </c>
      <c r="AM56" t="s">
        <v>44</v>
      </c>
      <c r="AN56" t="s">
        <v>45</v>
      </c>
    </row>
    <row r="57" spans="1:40" x14ac:dyDescent="0.2">
      <c r="A57" t="s">
        <v>159</v>
      </c>
      <c r="B57" t="s">
        <v>160</v>
      </c>
      <c r="C57">
        <v>6</v>
      </c>
      <c r="D57">
        <v>899.93798800000002</v>
      </c>
      <c r="E57">
        <v>0</v>
      </c>
      <c r="F57">
        <v>785774.6875</v>
      </c>
      <c r="G57">
        <v>44.535832999999997</v>
      </c>
      <c r="H57">
        <v>-125.38033299999999</v>
      </c>
      <c r="I57" t="s">
        <v>160</v>
      </c>
      <c r="J57">
        <v>5000</v>
      </c>
      <c r="K57" t="s">
        <v>161</v>
      </c>
      <c r="L57">
        <v>909.25099999999998</v>
      </c>
      <c r="M57">
        <v>899.93799999999999</v>
      </c>
      <c r="N57">
        <v>44.535829999999997</v>
      </c>
      <c r="O57">
        <v>-125.38030000000001</v>
      </c>
      <c r="P57">
        <v>3.9371999999999998</v>
      </c>
      <c r="Q57">
        <v>3.9363999999999999</v>
      </c>
      <c r="R57">
        <v>3.2361049999999998</v>
      </c>
      <c r="S57">
        <v>3.2369520000000001</v>
      </c>
      <c r="T57">
        <v>34.3566</v>
      </c>
      <c r="U57">
        <v>34.367400000000004</v>
      </c>
      <c r="V57">
        <v>9.6375419999999998</v>
      </c>
      <c r="W57">
        <v>325.44968899999998</v>
      </c>
      <c r="X57">
        <v>-4.5999999999999999E-3</v>
      </c>
      <c r="Y57">
        <v>6.2600000000000003E-2</v>
      </c>
      <c r="Z57">
        <v>98.446700000000007</v>
      </c>
      <c r="AK57">
        <v>34.361133000000002</v>
      </c>
      <c r="AL57" t="s">
        <v>130</v>
      </c>
      <c r="AM57" t="s">
        <v>44</v>
      </c>
      <c r="AN57" t="s">
        <v>45</v>
      </c>
    </row>
    <row r="58" spans="1:40" x14ac:dyDescent="0.2">
      <c r="A58" t="s">
        <v>162</v>
      </c>
      <c r="B58" t="s">
        <v>160</v>
      </c>
      <c r="C58">
        <v>6</v>
      </c>
      <c r="D58">
        <v>1499.968018</v>
      </c>
      <c r="E58">
        <v>0</v>
      </c>
      <c r="F58">
        <v>785774.6875</v>
      </c>
      <c r="G58">
        <v>44.535832999999997</v>
      </c>
      <c r="H58">
        <v>-125.38033299999999</v>
      </c>
      <c r="I58" t="s">
        <v>160</v>
      </c>
      <c r="J58">
        <v>5000</v>
      </c>
      <c r="K58" t="s">
        <v>163</v>
      </c>
      <c r="L58">
        <v>1517.684</v>
      </c>
      <c r="M58">
        <v>1499.9680000000001</v>
      </c>
      <c r="N58">
        <v>44.535820000000001</v>
      </c>
      <c r="O58">
        <v>-125.38027</v>
      </c>
      <c r="P58">
        <v>2.6528</v>
      </c>
      <c r="Q58">
        <v>2.6513</v>
      </c>
      <c r="R58">
        <v>3.163306</v>
      </c>
      <c r="S58">
        <v>3.164094</v>
      </c>
      <c r="T58">
        <v>34.526800000000001</v>
      </c>
      <c r="U58">
        <v>34.537999999999997</v>
      </c>
      <c r="V58">
        <v>35.598166999999997</v>
      </c>
      <c r="W58">
        <v>335.480682</v>
      </c>
      <c r="X58">
        <v>-1.8100000000000002E-2</v>
      </c>
      <c r="Y58">
        <v>7.3599999999999999E-2</v>
      </c>
      <c r="Z58">
        <v>98.1785</v>
      </c>
      <c r="AB58">
        <v>32.691806999999997</v>
      </c>
      <c r="AK58">
        <v>34.536237</v>
      </c>
      <c r="AL58" t="s">
        <v>130</v>
      </c>
      <c r="AM58" t="s">
        <v>44</v>
      </c>
      <c r="AN58" t="s">
        <v>45</v>
      </c>
    </row>
    <row r="59" spans="1:40" x14ac:dyDescent="0.2">
      <c r="A59" t="s">
        <v>164</v>
      </c>
      <c r="B59" t="s">
        <v>160</v>
      </c>
      <c r="C59">
        <v>6</v>
      </c>
      <c r="D59">
        <v>2250.0820309999999</v>
      </c>
      <c r="E59">
        <v>0</v>
      </c>
      <c r="F59">
        <v>785774.6875</v>
      </c>
      <c r="G59">
        <v>44.535832999999997</v>
      </c>
      <c r="H59">
        <v>-125.38033299999999</v>
      </c>
      <c r="I59" t="s">
        <v>160</v>
      </c>
      <c r="J59">
        <v>5000</v>
      </c>
      <c r="K59" t="s">
        <v>165</v>
      </c>
      <c r="L59">
        <v>2280.741</v>
      </c>
      <c r="M59">
        <v>2250.0819999999999</v>
      </c>
      <c r="N59">
        <v>44.535800000000002</v>
      </c>
      <c r="O59">
        <v>-125.38027</v>
      </c>
      <c r="P59">
        <v>1.8142</v>
      </c>
      <c r="Q59">
        <v>1.8132999999999999</v>
      </c>
      <c r="R59">
        <v>3.1288640000000001</v>
      </c>
      <c r="S59">
        <v>3.1296949999999999</v>
      </c>
      <c r="T59">
        <v>34.621600000000001</v>
      </c>
      <c r="U59">
        <v>34.632899999999999</v>
      </c>
      <c r="V59">
        <v>77.216448</v>
      </c>
      <c r="W59">
        <v>342.37121200000001</v>
      </c>
      <c r="X59">
        <v>-4.5999999999999999E-3</v>
      </c>
      <c r="Y59">
        <v>6.0999999999999999E-2</v>
      </c>
      <c r="Z59">
        <v>98.487300000000005</v>
      </c>
      <c r="AB59">
        <v>76.855659000000003</v>
      </c>
      <c r="AK59">
        <v>34.623252000000001</v>
      </c>
      <c r="AL59" t="s">
        <v>130</v>
      </c>
      <c r="AM59" t="s">
        <v>44</v>
      </c>
      <c r="AN59" t="s">
        <v>45</v>
      </c>
    </row>
    <row r="60" spans="1:40" x14ac:dyDescent="0.2">
      <c r="A60" t="s">
        <v>166</v>
      </c>
      <c r="B60" t="s">
        <v>160</v>
      </c>
      <c r="C60">
        <v>6</v>
      </c>
      <c r="D60">
        <v>2600.1530760000001</v>
      </c>
      <c r="E60">
        <v>0</v>
      </c>
      <c r="F60">
        <v>785774.6875</v>
      </c>
      <c r="G60">
        <v>44.535832999999997</v>
      </c>
      <c r="H60">
        <v>-125.38033299999999</v>
      </c>
      <c r="I60" t="s">
        <v>160</v>
      </c>
      <c r="J60">
        <v>5000</v>
      </c>
      <c r="K60" t="s">
        <v>167</v>
      </c>
      <c r="L60">
        <v>2637.7719999999999</v>
      </c>
      <c r="M60">
        <v>2600.1529999999998</v>
      </c>
      <c r="N60">
        <v>44.535809999999998</v>
      </c>
      <c r="O60">
        <v>-125.38024</v>
      </c>
      <c r="P60">
        <v>1.7216</v>
      </c>
      <c r="Q60">
        <v>1.72</v>
      </c>
      <c r="R60">
        <v>3.1361949999999998</v>
      </c>
      <c r="S60">
        <v>3.1369899999999999</v>
      </c>
      <c r="T60">
        <v>34.640099999999997</v>
      </c>
      <c r="U60">
        <v>34.651600000000002</v>
      </c>
      <c r="V60">
        <v>87.363110000000006</v>
      </c>
      <c r="W60">
        <v>343.12819200000001</v>
      </c>
      <c r="X60">
        <v>-1.84E-2</v>
      </c>
      <c r="Y60">
        <v>6.7599999999999993E-2</v>
      </c>
      <c r="Z60">
        <v>98.324700000000007</v>
      </c>
      <c r="AK60">
        <v>34.642702999999997</v>
      </c>
      <c r="AL60" t="s">
        <v>130</v>
      </c>
      <c r="AM60" t="s">
        <v>44</v>
      </c>
      <c r="AN60" t="s">
        <v>45</v>
      </c>
    </row>
    <row r="61" spans="1:40" x14ac:dyDescent="0.2">
      <c r="A61" t="s">
        <v>168</v>
      </c>
      <c r="B61" t="s">
        <v>169</v>
      </c>
      <c r="C61">
        <v>7</v>
      </c>
      <c r="D61">
        <v>2600.1530760000001</v>
      </c>
      <c r="E61">
        <v>0</v>
      </c>
      <c r="F61">
        <v>823572.3125</v>
      </c>
      <c r="G61">
        <v>44.374167</v>
      </c>
      <c r="H61">
        <v>-124.96250000000001</v>
      </c>
      <c r="I61" t="s">
        <v>169</v>
      </c>
      <c r="J61">
        <v>5000</v>
      </c>
      <c r="AL61" t="s">
        <v>170</v>
      </c>
      <c r="AM61" t="s">
        <v>44</v>
      </c>
      <c r="AN61" t="s">
        <v>45</v>
      </c>
    </row>
    <row r="62" spans="1:40" x14ac:dyDescent="0.2">
      <c r="A62" t="s">
        <v>171</v>
      </c>
      <c r="B62" t="s">
        <v>172</v>
      </c>
      <c r="C62">
        <v>8</v>
      </c>
      <c r="D62">
        <v>119.89099899999999</v>
      </c>
      <c r="E62">
        <v>0</v>
      </c>
      <c r="F62">
        <v>823572.3125</v>
      </c>
      <c r="G62">
        <v>44.374167</v>
      </c>
      <c r="H62">
        <v>-124.96250000000001</v>
      </c>
      <c r="I62" t="s">
        <v>172</v>
      </c>
      <c r="J62">
        <v>5000</v>
      </c>
      <c r="K62" t="s">
        <v>173</v>
      </c>
      <c r="L62">
        <v>120.901</v>
      </c>
      <c r="M62">
        <v>119.89100000000001</v>
      </c>
      <c r="N62">
        <v>44.374139999999997</v>
      </c>
      <c r="O62">
        <v>-124.96256</v>
      </c>
      <c r="P62">
        <v>7.5980999999999996</v>
      </c>
      <c r="Q62">
        <v>7.6002000000000001</v>
      </c>
      <c r="R62">
        <v>3.491644</v>
      </c>
      <c r="S62">
        <v>3.4927950000000001</v>
      </c>
      <c r="T62">
        <v>33.9422</v>
      </c>
      <c r="U62">
        <v>33.952599999999997</v>
      </c>
      <c r="V62">
        <v>89.899775000000005</v>
      </c>
      <c r="W62">
        <v>299.49040400000001</v>
      </c>
      <c r="X62">
        <v>-1.8599999999999998E-2</v>
      </c>
      <c r="Y62">
        <v>0.16439999999999999</v>
      </c>
      <c r="Z62">
        <v>95.973699999999994</v>
      </c>
      <c r="AA62">
        <v>7.7670000000000003</v>
      </c>
      <c r="AB62">
        <v>88.638074000000003</v>
      </c>
      <c r="AF62">
        <v>2.205603</v>
      </c>
      <c r="AG62">
        <v>40.496670999999999</v>
      </c>
      <c r="AH62">
        <v>31.181773</v>
      </c>
      <c r="AI62">
        <v>3.5729999999999998E-3</v>
      </c>
      <c r="AJ62">
        <v>1.5999999999999999E-5</v>
      </c>
      <c r="AL62" t="s">
        <v>170</v>
      </c>
      <c r="AM62" t="s">
        <v>44</v>
      </c>
      <c r="AN62" t="s">
        <v>45</v>
      </c>
    </row>
    <row r="63" spans="1:40" x14ac:dyDescent="0.2">
      <c r="A63" t="s">
        <v>174</v>
      </c>
      <c r="B63" t="s">
        <v>172</v>
      </c>
      <c r="C63">
        <v>8</v>
      </c>
      <c r="D63">
        <v>219.520004</v>
      </c>
      <c r="E63">
        <v>0</v>
      </c>
      <c r="F63">
        <v>823572.3125</v>
      </c>
      <c r="G63">
        <v>44.374167</v>
      </c>
      <c r="H63">
        <v>-124.96250000000001</v>
      </c>
      <c r="I63" t="s">
        <v>172</v>
      </c>
      <c r="J63">
        <v>5000</v>
      </c>
      <c r="K63" t="s">
        <v>175</v>
      </c>
      <c r="L63">
        <v>221.422</v>
      </c>
      <c r="M63">
        <v>219.52</v>
      </c>
      <c r="N63">
        <v>44.374119999999998</v>
      </c>
      <c r="O63">
        <v>-124.96254</v>
      </c>
      <c r="P63">
        <v>7.2796000000000003</v>
      </c>
      <c r="Q63">
        <v>7.2793999999999999</v>
      </c>
      <c r="R63">
        <v>3.470825</v>
      </c>
      <c r="S63">
        <v>3.4717699999999998</v>
      </c>
      <c r="T63">
        <v>33.979799999999997</v>
      </c>
      <c r="U63">
        <v>33.990200000000002</v>
      </c>
      <c r="V63">
        <v>76.470633000000007</v>
      </c>
      <c r="W63">
        <v>301.59521100000001</v>
      </c>
      <c r="X63">
        <v>-2.4199999999999999E-2</v>
      </c>
      <c r="Y63">
        <v>0.21249999999999999</v>
      </c>
      <c r="Z63">
        <v>94.826999999999998</v>
      </c>
      <c r="AA63">
        <v>7.7409999999999997</v>
      </c>
      <c r="AF63">
        <v>2.3672650000000002</v>
      </c>
      <c r="AG63">
        <v>48.132174999999997</v>
      </c>
      <c r="AH63">
        <v>33.274607000000003</v>
      </c>
      <c r="AI63">
        <v>0</v>
      </c>
      <c r="AJ63">
        <v>1.2E-5</v>
      </c>
      <c r="AK63">
        <v>33.981963</v>
      </c>
      <c r="AL63" t="s">
        <v>170</v>
      </c>
      <c r="AM63" t="s">
        <v>44</v>
      </c>
      <c r="AN63" t="s">
        <v>45</v>
      </c>
    </row>
    <row r="64" spans="1:40" x14ac:dyDescent="0.2">
      <c r="A64" t="s">
        <v>176</v>
      </c>
      <c r="B64" t="s">
        <v>172</v>
      </c>
      <c r="C64">
        <v>8</v>
      </c>
      <c r="D64">
        <v>199.79499799999999</v>
      </c>
      <c r="E64">
        <v>0</v>
      </c>
      <c r="F64">
        <v>823572.3125</v>
      </c>
      <c r="G64">
        <v>44.374167</v>
      </c>
      <c r="H64">
        <v>-124.96250000000001</v>
      </c>
      <c r="I64" t="s">
        <v>172</v>
      </c>
      <c r="J64">
        <v>5000</v>
      </c>
      <c r="K64" t="s">
        <v>177</v>
      </c>
      <c r="L64">
        <v>201.517</v>
      </c>
      <c r="M64">
        <v>199.79499999999999</v>
      </c>
      <c r="N64">
        <v>44.374139999999997</v>
      </c>
      <c r="O64">
        <v>-124.96254999999999</v>
      </c>
      <c r="P64">
        <v>7.3250999999999999</v>
      </c>
      <c r="Q64">
        <v>7.3240999999999996</v>
      </c>
      <c r="R64">
        <v>3.4734880000000001</v>
      </c>
      <c r="S64">
        <v>3.474361</v>
      </c>
      <c r="T64">
        <v>33.973599999999998</v>
      </c>
      <c r="U64">
        <v>33.984200000000001</v>
      </c>
      <c r="V64">
        <v>76.957423000000006</v>
      </c>
      <c r="W64">
        <v>301.29375800000003</v>
      </c>
      <c r="X64">
        <v>-2.1100000000000001E-2</v>
      </c>
      <c r="Y64">
        <v>0.21079999999999999</v>
      </c>
      <c r="Z64">
        <v>94.866299999999995</v>
      </c>
      <c r="AA64">
        <v>7.74</v>
      </c>
      <c r="AF64">
        <v>2.3488169999999999</v>
      </c>
      <c r="AG64">
        <v>48.116205999999998</v>
      </c>
      <c r="AH64">
        <v>33.155071999999997</v>
      </c>
      <c r="AI64">
        <v>0</v>
      </c>
      <c r="AJ64">
        <v>1.2999999999999999E-5</v>
      </c>
      <c r="AL64" t="s">
        <v>170</v>
      </c>
      <c r="AM64" t="s">
        <v>44</v>
      </c>
      <c r="AN64" t="s">
        <v>45</v>
      </c>
    </row>
    <row r="65" spans="1:40" x14ac:dyDescent="0.2">
      <c r="A65" t="s">
        <v>178</v>
      </c>
      <c r="B65" t="s">
        <v>172</v>
      </c>
      <c r="C65">
        <v>8</v>
      </c>
      <c r="D65">
        <v>180.13900799999999</v>
      </c>
      <c r="E65">
        <v>0</v>
      </c>
      <c r="F65">
        <v>823572.3125</v>
      </c>
      <c r="G65">
        <v>44.374167</v>
      </c>
      <c r="H65">
        <v>-124.96250000000001</v>
      </c>
      <c r="I65" t="s">
        <v>172</v>
      </c>
      <c r="J65">
        <v>5000</v>
      </c>
      <c r="K65" t="s">
        <v>179</v>
      </c>
      <c r="L65">
        <v>181.68299999999999</v>
      </c>
      <c r="M65">
        <v>180.13900000000001</v>
      </c>
      <c r="N65">
        <v>44.374119999999998</v>
      </c>
      <c r="O65">
        <v>-124.96256</v>
      </c>
      <c r="P65">
        <v>7.3483000000000001</v>
      </c>
      <c r="Q65">
        <v>7.3482000000000003</v>
      </c>
      <c r="R65">
        <v>3.4744619999999999</v>
      </c>
      <c r="S65">
        <v>3.4754299999999998</v>
      </c>
      <c r="T65">
        <v>33.9711</v>
      </c>
      <c r="U65">
        <v>33.981699999999996</v>
      </c>
      <c r="V65">
        <v>77.957797999999997</v>
      </c>
      <c r="W65">
        <v>301.13968299999999</v>
      </c>
      <c r="X65">
        <v>-1.12E-2</v>
      </c>
      <c r="Y65">
        <v>0.20649999999999999</v>
      </c>
      <c r="Z65">
        <v>94.969499999999996</v>
      </c>
      <c r="AA65">
        <v>7.7439999999999998</v>
      </c>
      <c r="AF65">
        <v>2.3819409999999999</v>
      </c>
      <c r="AG65">
        <v>47.392226000000001</v>
      </c>
      <c r="AH65">
        <v>33.255805000000002</v>
      </c>
      <c r="AI65">
        <v>0</v>
      </c>
      <c r="AJ65">
        <v>1.4E-5</v>
      </c>
      <c r="AK65">
        <v>33.97354</v>
      </c>
      <c r="AL65" t="s">
        <v>170</v>
      </c>
      <c r="AM65" t="s">
        <v>44</v>
      </c>
      <c r="AN65" t="s">
        <v>45</v>
      </c>
    </row>
    <row r="66" spans="1:40" x14ac:dyDescent="0.2">
      <c r="A66" t="s">
        <v>180</v>
      </c>
      <c r="B66" t="s">
        <v>172</v>
      </c>
      <c r="C66">
        <v>8</v>
      </c>
      <c r="D66">
        <v>140.68400600000001</v>
      </c>
      <c r="E66">
        <v>0</v>
      </c>
      <c r="F66">
        <v>823572.3125</v>
      </c>
      <c r="G66">
        <v>44.374167</v>
      </c>
      <c r="H66">
        <v>-124.96250000000001</v>
      </c>
      <c r="I66" t="s">
        <v>172</v>
      </c>
      <c r="J66">
        <v>5000</v>
      </c>
      <c r="K66" t="s">
        <v>181</v>
      </c>
      <c r="L66">
        <v>141.876</v>
      </c>
      <c r="M66">
        <v>140.684</v>
      </c>
      <c r="N66">
        <v>44.374130000000001</v>
      </c>
      <c r="O66">
        <v>-124.96254</v>
      </c>
      <c r="P66">
        <v>7.4824000000000002</v>
      </c>
      <c r="Q66">
        <v>7.4821</v>
      </c>
      <c r="R66">
        <v>3.4836749999999999</v>
      </c>
      <c r="S66">
        <v>3.4846300000000001</v>
      </c>
      <c r="T66">
        <v>33.9589</v>
      </c>
      <c r="U66">
        <v>33.9696</v>
      </c>
      <c r="V66">
        <v>85.241778999999994</v>
      </c>
      <c r="W66">
        <v>300.24559799999997</v>
      </c>
      <c r="X66">
        <v>-1.8100000000000002E-2</v>
      </c>
      <c r="Y66">
        <v>0.17749999999999999</v>
      </c>
      <c r="Z66">
        <v>95.658699999999996</v>
      </c>
      <c r="AA66">
        <v>7.7539999999999996</v>
      </c>
      <c r="AF66">
        <v>2.2712829999999999</v>
      </c>
      <c r="AG66">
        <v>44.667259000000001</v>
      </c>
      <c r="AH66">
        <v>32.224145999999998</v>
      </c>
      <c r="AI66">
        <v>0</v>
      </c>
      <c r="AJ66">
        <v>1.5E-5</v>
      </c>
      <c r="AL66" t="s">
        <v>170</v>
      </c>
      <c r="AM66" t="s">
        <v>44</v>
      </c>
      <c r="AN66" t="s">
        <v>45</v>
      </c>
    </row>
    <row r="67" spans="1:40" x14ac:dyDescent="0.2">
      <c r="A67" t="s">
        <v>182</v>
      </c>
      <c r="B67" t="s">
        <v>172</v>
      </c>
      <c r="C67">
        <v>8</v>
      </c>
      <c r="D67">
        <v>140.40299999999999</v>
      </c>
      <c r="E67">
        <v>0</v>
      </c>
      <c r="F67">
        <v>823572.3125</v>
      </c>
      <c r="G67">
        <v>44.374167</v>
      </c>
      <c r="H67">
        <v>-124.96250000000001</v>
      </c>
      <c r="I67" t="s">
        <v>172</v>
      </c>
      <c r="J67">
        <v>5000</v>
      </c>
      <c r="K67" t="s">
        <v>183</v>
      </c>
      <c r="L67">
        <v>141.59200000000001</v>
      </c>
      <c r="M67">
        <v>140.40299999999999</v>
      </c>
      <c r="N67">
        <v>44.374139999999997</v>
      </c>
      <c r="O67">
        <v>-124.96254</v>
      </c>
      <c r="P67">
        <v>7.4721000000000002</v>
      </c>
      <c r="Q67">
        <v>7.4737</v>
      </c>
      <c r="R67">
        <v>3.4828199999999998</v>
      </c>
      <c r="S67">
        <v>3.483943</v>
      </c>
      <c r="T67">
        <v>33.959800000000001</v>
      </c>
      <c r="U67">
        <v>33.970500000000001</v>
      </c>
      <c r="V67">
        <v>85.268574000000001</v>
      </c>
      <c r="W67">
        <v>300.31392699999998</v>
      </c>
      <c r="X67">
        <v>-7.3000000000000001E-3</v>
      </c>
      <c r="Y67">
        <v>0.17780000000000001</v>
      </c>
      <c r="Z67">
        <v>95.650999999999996</v>
      </c>
      <c r="AA67">
        <v>7.7530000000000001</v>
      </c>
      <c r="AK67">
        <v>33.961592000000003</v>
      </c>
      <c r="AL67" t="s">
        <v>170</v>
      </c>
      <c r="AM67" t="s">
        <v>44</v>
      </c>
      <c r="AN67" t="s">
        <v>45</v>
      </c>
    </row>
    <row r="68" spans="1:40" x14ac:dyDescent="0.2">
      <c r="A68" t="s">
        <v>184</v>
      </c>
      <c r="B68" t="s">
        <v>172</v>
      </c>
      <c r="C68">
        <v>8</v>
      </c>
      <c r="D68">
        <v>120.03600299999999</v>
      </c>
      <c r="E68">
        <v>0</v>
      </c>
      <c r="F68">
        <v>823572.3125</v>
      </c>
      <c r="G68">
        <v>44.374167</v>
      </c>
      <c r="H68">
        <v>-124.96250000000001</v>
      </c>
      <c r="I68" t="s">
        <v>172</v>
      </c>
      <c r="J68">
        <v>5000</v>
      </c>
      <c r="K68" t="s">
        <v>185</v>
      </c>
      <c r="L68">
        <v>121.047</v>
      </c>
      <c r="M68">
        <v>120.036</v>
      </c>
      <c r="N68">
        <v>44.374139999999997</v>
      </c>
      <c r="O68">
        <v>-124.96256</v>
      </c>
      <c r="P68">
        <v>7.5964</v>
      </c>
      <c r="Q68">
        <v>7.5967000000000002</v>
      </c>
      <c r="R68">
        <v>3.4915189999999998</v>
      </c>
      <c r="S68">
        <v>3.4925250000000001</v>
      </c>
      <c r="T68">
        <v>33.942500000000003</v>
      </c>
      <c r="U68">
        <v>33.953000000000003</v>
      </c>
      <c r="V68">
        <v>90.100742999999994</v>
      </c>
      <c r="W68">
        <v>299.50156900000002</v>
      </c>
      <c r="X68">
        <v>-1.8100000000000002E-2</v>
      </c>
      <c r="Y68">
        <v>0.16400000000000001</v>
      </c>
      <c r="Z68">
        <v>95.982799999999997</v>
      </c>
      <c r="AA68">
        <v>7.7670000000000003</v>
      </c>
      <c r="AB68">
        <v>84.215007</v>
      </c>
      <c r="AL68" t="s">
        <v>170</v>
      </c>
      <c r="AM68" t="s">
        <v>44</v>
      </c>
      <c r="AN68" t="s">
        <v>45</v>
      </c>
    </row>
    <row r="69" spans="1:40" x14ac:dyDescent="0.2">
      <c r="A69" t="s">
        <v>186</v>
      </c>
      <c r="B69" t="s">
        <v>172</v>
      </c>
      <c r="C69">
        <v>8</v>
      </c>
      <c r="D69">
        <v>99.679001</v>
      </c>
      <c r="E69">
        <v>0</v>
      </c>
      <c r="F69">
        <v>823572.3125</v>
      </c>
      <c r="G69">
        <v>44.374167</v>
      </c>
      <c r="H69">
        <v>-124.96250000000001</v>
      </c>
      <c r="I69" t="s">
        <v>172</v>
      </c>
      <c r="J69">
        <v>5000</v>
      </c>
      <c r="K69" t="s">
        <v>187</v>
      </c>
      <c r="L69">
        <v>100.51300000000001</v>
      </c>
      <c r="M69">
        <v>99.679000000000002</v>
      </c>
      <c r="N69">
        <v>44.374119999999998</v>
      </c>
      <c r="O69">
        <v>-124.96256</v>
      </c>
      <c r="P69">
        <v>7.8301999999999996</v>
      </c>
      <c r="Q69">
        <v>7.8422000000000001</v>
      </c>
      <c r="R69">
        <v>3.5086650000000001</v>
      </c>
      <c r="S69">
        <v>3.5105680000000001</v>
      </c>
      <c r="T69">
        <v>33.909300000000002</v>
      </c>
      <c r="U69">
        <v>33.918100000000003</v>
      </c>
      <c r="V69">
        <v>101.131664</v>
      </c>
      <c r="W69">
        <v>297.98403500000001</v>
      </c>
      <c r="X69">
        <v>-2.5000000000000001E-2</v>
      </c>
      <c r="Y69">
        <v>0.1484</v>
      </c>
      <c r="Z69">
        <v>96.358099999999993</v>
      </c>
      <c r="AA69">
        <v>7.7859999999999996</v>
      </c>
      <c r="AC69">
        <v>4.2769000000000001E-2</v>
      </c>
      <c r="AD69">
        <v>0.197243</v>
      </c>
      <c r="AE69">
        <v>1.175481</v>
      </c>
      <c r="AF69">
        <v>2.164253</v>
      </c>
      <c r="AG69">
        <v>39.749232999999997</v>
      </c>
      <c r="AH69">
        <v>30.881086</v>
      </c>
      <c r="AI69">
        <v>-4.4060000000000002E-3</v>
      </c>
      <c r="AJ69">
        <v>1.7E-5</v>
      </c>
      <c r="AK69">
        <v>33.908127</v>
      </c>
      <c r="AL69" t="s">
        <v>170</v>
      </c>
      <c r="AM69" t="s">
        <v>44</v>
      </c>
      <c r="AN69" t="s">
        <v>45</v>
      </c>
    </row>
    <row r="70" spans="1:40" x14ac:dyDescent="0.2">
      <c r="A70" t="s">
        <v>188</v>
      </c>
      <c r="B70" t="s">
        <v>172</v>
      </c>
      <c r="C70">
        <v>8</v>
      </c>
      <c r="D70">
        <v>60.422001000000002</v>
      </c>
      <c r="E70">
        <v>0</v>
      </c>
      <c r="F70">
        <v>823572.3125</v>
      </c>
      <c r="G70">
        <v>44.374167</v>
      </c>
      <c r="H70">
        <v>-124.96250000000001</v>
      </c>
      <c r="I70" t="s">
        <v>172</v>
      </c>
      <c r="J70">
        <v>5000</v>
      </c>
      <c r="K70" t="s">
        <v>189</v>
      </c>
      <c r="L70">
        <v>60.921999999999997</v>
      </c>
      <c r="M70">
        <v>60.421999999999997</v>
      </c>
      <c r="N70">
        <v>44.374119999999998</v>
      </c>
      <c r="O70">
        <v>-124.96256</v>
      </c>
      <c r="P70">
        <v>8.4938000000000002</v>
      </c>
      <c r="Q70">
        <v>8.4939</v>
      </c>
      <c r="R70">
        <v>3.5398420000000002</v>
      </c>
      <c r="S70">
        <v>3.5405310000000001</v>
      </c>
      <c r="T70">
        <v>33.621499999999997</v>
      </c>
      <c r="U70">
        <v>33.628599999999999</v>
      </c>
      <c r="V70">
        <v>134.76927499999999</v>
      </c>
      <c r="W70">
        <v>294.12455299999999</v>
      </c>
      <c r="X70">
        <v>1.54E-2</v>
      </c>
      <c r="Y70">
        <v>0.1265</v>
      </c>
      <c r="Z70">
        <v>96.885599999999997</v>
      </c>
      <c r="AA70">
        <v>7.8520000000000003</v>
      </c>
      <c r="AB70">
        <v>126.8884</v>
      </c>
      <c r="AC70">
        <v>9.8426E-2</v>
      </c>
      <c r="AD70">
        <v>0.261015</v>
      </c>
      <c r="AE70">
        <v>1.269663</v>
      </c>
      <c r="AF70">
        <v>1.9019330000000001</v>
      </c>
      <c r="AG70">
        <v>29.150077</v>
      </c>
      <c r="AH70">
        <v>26.163153999999999</v>
      </c>
      <c r="AI70">
        <v>2.8642000000000001E-2</v>
      </c>
      <c r="AJ70">
        <v>1.8E-5</v>
      </c>
      <c r="AK70">
        <v>33.967860000000002</v>
      </c>
      <c r="AL70" t="s">
        <v>170</v>
      </c>
      <c r="AM70" t="s">
        <v>44</v>
      </c>
      <c r="AN70" t="s">
        <v>45</v>
      </c>
    </row>
    <row r="71" spans="1:40" x14ac:dyDescent="0.2">
      <c r="A71" t="s">
        <v>190</v>
      </c>
      <c r="B71" t="s">
        <v>172</v>
      </c>
      <c r="C71">
        <v>8</v>
      </c>
      <c r="D71">
        <v>59.769001000000003</v>
      </c>
      <c r="E71">
        <v>0</v>
      </c>
      <c r="F71">
        <v>823572.3125</v>
      </c>
      <c r="G71">
        <v>44.374167</v>
      </c>
      <c r="H71">
        <v>-124.96250000000001</v>
      </c>
      <c r="I71" t="s">
        <v>172</v>
      </c>
      <c r="J71">
        <v>5000</v>
      </c>
      <c r="K71" t="s">
        <v>191</v>
      </c>
      <c r="L71">
        <v>60.262999999999998</v>
      </c>
      <c r="M71">
        <v>59.768999999999998</v>
      </c>
      <c r="N71">
        <v>44.374139999999997</v>
      </c>
      <c r="O71">
        <v>-124.96254999999999</v>
      </c>
      <c r="P71">
        <v>8.4945000000000004</v>
      </c>
      <c r="Q71">
        <v>8.4939999999999998</v>
      </c>
      <c r="R71">
        <v>3.5391750000000002</v>
      </c>
      <c r="S71">
        <v>3.5401410000000002</v>
      </c>
      <c r="T71">
        <v>33.614100000000001</v>
      </c>
      <c r="U71">
        <v>33.624699999999997</v>
      </c>
      <c r="V71">
        <v>135.07295999999999</v>
      </c>
      <c r="W71">
        <v>294.13393100000002</v>
      </c>
      <c r="X71">
        <v>3.95E-2</v>
      </c>
      <c r="Y71">
        <v>0.12659999999999999</v>
      </c>
      <c r="Z71">
        <v>96.883099999999999</v>
      </c>
      <c r="AA71">
        <v>7.8520000000000003</v>
      </c>
      <c r="AB71">
        <v>129.050217</v>
      </c>
      <c r="AL71" t="s">
        <v>170</v>
      </c>
      <c r="AM71" t="s">
        <v>44</v>
      </c>
      <c r="AN71" t="s">
        <v>45</v>
      </c>
    </row>
    <row r="72" spans="1:40" x14ac:dyDescent="0.2">
      <c r="A72" t="s">
        <v>192</v>
      </c>
      <c r="B72" t="s">
        <v>172</v>
      </c>
      <c r="C72">
        <v>8</v>
      </c>
      <c r="D72">
        <v>40.226002000000001</v>
      </c>
      <c r="E72">
        <v>0</v>
      </c>
      <c r="F72">
        <v>823572.3125</v>
      </c>
      <c r="G72">
        <v>44.374167</v>
      </c>
      <c r="H72">
        <v>-124.96250000000001</v>
      </c>
      <c r="I72" t="s">
        <v>172</v>
      </c>
      <c r="J72">
        <v>5000</v>
      </c>
      <c r="K72" t="s">
        <v>193</v>
      </c>
      <c r="L72">
        <v>40.557000000000002</v>
      </c>
      <c r="M72">
        <v>40.225999999999999</v>
      </c>
      <c r="N72">
        <v>44.374130000000001</v>
      </c>
      <c r="O72">
        <v>-124.96256</v>
      </c>
      <c r="P72">
        <v>8.0474999999999994</v>
      </c>
      <c r="Q72">
        <v>8.0475999999999992</v>
      </c>
      <c r="R72">
        <v>3.43343</v>
      </c>
      <c r="S72">
        <v>3.4349090000000002</v>
      </c>
      <c r="T72">
        <v>32.925199999999997</v>
      </c>
      <c r="U72">
        <v>32.940800000000003</v>
      </c>
      <c r="V72">
        <v>169.47425000000001</v>
      </c>
      <c r="W72">
        <v>298.43554399999999</v>
      </c>
      <c r="X72">
        <v>0.3347</v>
      </c>
      <c r="Y72">
        <v>0.2102</v>
      </c>
      <c r="Z72">
        <v>94.882099999999994</v>
      </c>
      <c r="AA72">
        <v>7.8949999999999996</v>
      </c>
      <c r="AC72">
        <v>0.58762800000000004</v>
      </c>
      <c r="AD72">
        <v>0.86629100000000003</v>
      </c>
      <c r="AE72">
        <v>1.3980159999999999</v>
      </c>
      <c r="AF72">
        <v>1.727757</v>
      </c>
      <c r="AG72">
        <v>20.25459</v>
      </c>
      <c r="AH72">
        <v>21.101773999999999</v>
      </c>
      <c r="AI72">
        <v>0.106505</v>
      </c>
      <c r="AJ72">
        <v>0.29493200000000003</v>
      </c>
      <c r="AL72" t="s">
        <v>170</v>
      </c>
      <c r="AM72" t="s">
        <v>44</v>
      </c>
      <c r="AN72" t="s">
        <v>45</v>
      </c>
    </row>
    <row r="73" spans="1:40" x14ac:dyDescent="0.2">
      <c r="A73" t="s">
        <v>194</v>
      </c>
      <c r="B73" t="s">
        <v>172</v>
      </c>
      <c r="C73">
        <v>8</v>
      </c>
      <c r="D73">
        <v>20.266999999999999</v>
      </c>
      <c r="E73">
        <v>0</v>
      </c>
      <c r="F73">
        <v>823572.3125</v>
      </c>
      <c r="G73">
        <v>44.374167</v>
      </c>
      <c r="H73">
        <v>-124.96250000000001</v>
      </c>
      <c r="I73" t="s">
        <v>172</v>
      </c>
      <c r="J73">
        <v>5000</v>
      </c>
      <c r="K73" t="s">
        <v>195</v>
      </c>
      <c r="L73">
        <v>20.433</v>
      </c>
      <c r="M73">
        <v>20.266999999999999</v>
      </c>
      <c r="N73">
        <v>44.374139999999997</v>
      </c>
      <c r="O73">
        <v>-124.96254</v>
      </c>
      <c r="P73">
        <v>8.9102999999999994</v>
      </c>
      <c r="Q73">
        <v>8.9169999999999998</v>
      </c>
      <c r="R73">
        <v>3.4706619999999999</v>
      </c>
      <c r="S73">
        <v>3.4721790000000001</v>
      </c>
      <c r="T73">
        <v>32.525599999999997</v>
      </c>
      <c r="U73">
        <v>32.535200000000003</v>
      </c>
      <c r="V73">
        <v>225.053122</v>
      </c>
      <c r="W73">
        <v>293.48413399999998</v>
      </c>
      <c r="X73">
        <v>0.80600000000000005</v>
      </c>
      <c r="Y73">
        <v>0.2535</v>
      </c>
      <c r="Z73">
        <v>93.859099999999998</v>
      </c>
      <c r="AA73">
        <v>8.0410000000000004</v>
      </c>
      <c r="AB73">
        <v>224.724684</v>
      </c>
      <c r="AL73" t="s">
        <v>170</v>
      </c>
      <c r="AM73" t="s">
        <v>44</v>
      </c>
      <c r="AN73" t="s">
        <v>45</v>
      </c>
    </row>
    <row r="74" spans="1:40" x14ac:dyDescent="0.2">
      <c r="A74" t="s">
        <v>196</v>
      </c>
      <c r="B74" t="s">
        <v>172</v>
      </c>
      <c r="C74">
        <v>8</v>
      </c>
      <c r="D74">
        <v>20.238001000000001</v>
      </c>
      <c r="E74">
        <v>0</v>
      </c>
      <c r="F74">
        <v>823572.3125</v>
      </c>
      <c r="G74">
        <v>44.374167</v>
      </c>
      <c r="H74">
        <v>-124.96250000000001</v>
      </c>
      <c r="I74" t="s">
        <v>172</v>
      </c>
      <c r="J74">
        <v>5000</v>
      </c>
      <c r="K74" t="s">
        <v>197</v>
      </c>
      <c r="L74">
        <v>20.404</v>
      </c>
      <c r="M74">
        <v>20.238</v>
      </c>
      <c r="N74">
        <v>44.374139999999997</v>
      </c>
      <c r="O74">
        <v>-124.96254999999999</v>
      </c>
      <c r="P74">
        <v>8.9875000000000007</v>
      </c>
      <c r="Q74">
        <v>8.9457000000000004</v>
      </c>
      <c r="R74">
        <v>3.4754130000000001</v>
      </c>
      <c r="S74">
        <v>3.4739640000000001</v>
      </c>
      <c r="T74">
        <v>32.504300000000001</v>
      </c>
      <c r="U74">
        <v>32.5274</v>
      </c>
      <c r="V74">
        <v>228.290943</v>
      </c>
      <c r="W74">
        <v>293.02056800000003</v>
      </c>
      <c r="X74">
        <v>0.87719999999999998</v>
      </c>
      <c r="Y74">
        <v>0.30620000000000003</v>
      </c>
      <c r="Z74">
        <v>92.631600000000006</v>
      </c>
      <c r="AA74">
        <v>8.0429999999999993</v>
      </c>
      <c r="AB74">
        <v>229.984342</v>
      </c>
      <c r="AC74">
        <v>1.331683</v>
      </c>
      <c r="AD74">
        <v>0.41705799999999998</v>
      </c>
      <c r="AE74">
        <v>1.7499180000000001</v>
      </c>
      <c r="AF74">
        <v>1.22861</v>
      </c>
      <c r="AG74">
        <v>10.556331</v>
      </c>
      <c r="AH74">
        <v>11.696032000000001</v>
      </c>
      <c r="AI74">
        <v>8.1352999999999995E-2</v>
      </c>
      <c r="AJ74">
        <v>0.83139399999999997</v>
      </c>
      <c r="AK74">
        <v>32.488844</v>
      </c>
      <c r="AL74" t="s">
        <v>170</v>
      </c>
      <c r="AM74" t="s">
        <v>44</v>
      </c>
      <c r="AN74" t="s">
        <v>45</v>
      </c>
    </row>
    <row r="75" spans="1:40" x14ac:dyDescent="0.2">
      <c r="A75" t="s">
        <v>198</v>
      </c>
      <c r="B75" t="s">
        <v>172</v>
      </c>
      <c r="C75">
        <v>8</v>
      </c>
      <c r="D75">
        <v>9.6379999999999999</v>
      </c>
      <c r="E75">
        <v>0</v>
      </c>
      <c r="F75">
        <v>823572.3125</v>
      </c>
      <c r="G75">
        <v>44.374167</v>
      </c>
      <c r="H75">
        <v>-124.96250000000001</v>
      </c>
      <c r="I75" t="s">
        <v>172</v>
      </c>
      <c r="J75">
        <v>5000</v>
      </c>
      <c r="K75" t="s">
        <v>199</v>
      </c>
      <c r="L75">
        <v>9.7170000000000005</v>
      </c>
      <c r="M75">
        <v>9.6379999999999999</v>
      </c>
      <c r="N75">
        <v>44.374139999999997</v>
      </c>
      <c r="O75">
        <v>-124.96256</v>
      </c>
      <c r="P75">
        <v>13.1968</v>
      </c>
      <c r="Q75">
        <v>13.2037</v>
      </c>
      <c r="R75">
        <v>3.824894</v>
      </c>
      <c r="S75">
        <v>3.8267009999999999</v>
      </c>
      <c r="T75">
        <v>32.250399999999999</v>
      </c>
      <c r="U75">
        <v>32.261600000000001</v>
      </c>
      <c r="V75">
        <v>300.42959500000001</v>
      </c>
      <c r="W75">
        <v>268.20635399999998</v>
      </c>
      <c r="X75">
        <v>2.9287000000000001</v>
      </c>
      <c r="Y75">
        <v>1.2281</v>
      </c>
      <c r="Z75">
        <v>73.562899999999999</v>
      </c>
      <c r="AA75">
        <v>8.3140000000000001</v>
      </c>
      <c r="AC75">
        <v>4.4994820000000004</v>
      </c>
      <c r="AD75">
        <v>1.0623339999999999</v>
      </c>
      <c r="AE75">
        <v>1.7966800000000001</v>
      </c>
      <c r="AF75">
        <v>0.55060299999999995</v>
      </c>
      <c r="AG75">
        <v>9.8348639999999996</v>
      </c>
      <c r="AH75">
        <v>3.0165109999999999</v>
      </c>
      <c r="AI75">
        <v>5.7751999999999998E-2</v>
      </c>
      <c r="AJ75">
        <v>2.0999999999999999E-5</v>
      </c>
      <c r="AL75" t="s">
        <v>170</v>
      </c>
      <c r="AM75" t="s">
        <v>44</v>
      </c>
      <c r="AN75" t="s">
        <v>45</v>
      </c>
    </row>
    <row r="76" spans="1:40" x14ac:dyDescent="0.2">
      <c r="A76" t="s">
        <v>200</v>
      </c>
      <c r="B76" t="s">
        <v>172</v>
      </c>
      <c r="C76">
        <v>8</v>
      </c>
      <c r="D76">
        <v>80.252998000000005</v>
      </c>
      <c r="E76">
        <v>0</v>
      </c>
      <c r="F76">
        <v>823572.3125</v>
      </c>
      <c r="G76">
        <v>44.374167</v>
      </c>
      <c r="H76">
        <v>-124.96250000000001</v>
      </c>
      <c r="I76" t="s">
        <v>172</v>
      </c>
      <c r="J76">
        <v>5000</v>
      </c>
      <c r="K76" t="s">
        <v>201</v>
      </c>
      <c r="L76">
        <v>80.921000000000006</v>
      </c>
      <c r="M76">
        <v>80.253</v>
      </c>
      <c r="N76">
        <v>44.374139999999997</v>
      </c>
      <c r="O76">
        <v>-124.96256</v>
      </c>
      <c r="P76">
        <v>8.1942000000000004</v>
      </c>
      <c r="Q76">
        <v>8.1957000000000004</v>
      </c>
      <c r="R76">
        <v>3.5289779999999999</v>
      </c>
      <c r="S76">
        <v>3.5300500000000001</v>
      </c>
      <c r="T76">
        <v>33.783799999999999</v>
      </c>
      <c r="U76">
        <v>33.793799999999997</v>
      </c>
      <c r="V76">
        <v>113.54256700000001</v>
      </c>
      <c r="W76">
        <v>295.79214200000001</v>
      </c>
      <c r="X76">
        <v>-1.17E-2</v>
      </c>
      <c r="Y76">
        <v>0.14019999999999999</v>
      </c>
      <c r="Z76">
        <v>96.555499999999995</v>
      </c>
      <c r="AA76">
        <v>7.8090000000000002</v>
      </c>
      <c r="AC76">
        <v>7.1475999999999998E-2</v>
      </c>
      <c r="AD76">
        <v>0.25392500000000001</v>
      </c>
      <c r="AE76">
        <v>1.2163120000000001</v>
      </c>
      <c r="AL76" t="s">
        <v>170</v>
      </c>
      <c r="AM76" t="s">
        <v>44</v>
      </c>
      <c r="AN76" t="s">
        <v>45</v>
      </c>
    </row>
    <row r="77" spans="1:40" x14ac:dyDescent="0.2">
      <c r="A77" t="s">
        <v>202</v>
      </c>
      <c r="B77" t="s">
        <v>203</v>
      </c>
      <c r="C77">
        <v>9</v>
      </c>
      <c r="D77">
        <v>575.88800000000003</v>
      </c>
      <c r="E77">
        <v>0</v>
      </c>
      <c r="F77">
        <v>823572.3125</v>
      </c>
      <c r="G77">
        <v>44.374167</v>
      </c>
      <c r="H77">
        <v>-124.96250000000001</v>
      </c>
      <c r="I77" t="s">
        <v>203</v>
      </c>
      <c r="J77">
        <v>5000</v>
      </c>
      <c r="K77" t="s">
        <v>204</v>
      </c>
      <c r="L77">
        <v>581.38300000000004</v>
      </c>
      <c r="M77">
        <v>575.88800000000003</v>
      </c>
      <c r="N77">
        <v>44.374139999999997</v>
      </c>
      <c r="O77">
        <v>-124.96256</v>
      </c>
      <c r="P77">
        <v>4.7916999999999996</v>
      </c>
      <c r="Q77">
        <v>4.7912999999999997</v>
      </c>
      <c r="R77">
        <v>3.2855340000000002</v>
      </c>
      <c r="S77">
        <v>3.2863889999999998</v>
      </c>
      <c r="T77">
        <v>34.2179</v>
      </c>
      <c r="U77">
        <v>34.228200000000001</v>
      </c>
      <c r="V77">
        <v>16.023864</v>
      </c>
      <c r="W77">
        <v>319.12455</v>
      </c>
      <c r="X77">
        <v>1.8E-3</v>
      </c>
      <c r="Y77">
        <v>0.23139999999999999</v>
      </c>
      <c r="Z77">
        <v>94.379400000000004</v>
      </c>
      <c r="AA77">
        <v>7.6509999999999998</v>
      </c>
      <c r="AB77">
        <v>30.816461</v>
      </c>
      <c r="AC77">
        <v>2.6950000000000002E-2</v>
      </c>
      <c r="AD77">
        <v>0.14902000000000001</v>
      </c>
      <c r="AE77">
        <v>1.15082</v>
      </c>
      <c r="AF77">
        <v>3.0126789999999999</v>
      </c>
      <c r="AG77">
        <v>91.820272000000003</v>
      </c>
      <c r="AH77">
        <v>41.044390999999997</v>
      </c>
      <c r="AI77">
        <v>5.4413000000000003E-2</v>
      </c>
      <c r="AJ77">
        <v>0.112918</v>
      </c>
      <c r="AK77">
        <v>34.217542999999999</v>
      </c>
      <c r="AL77" t="s">
        <v>170</v>
      </c>
      <c r="AM77" t="s">
        <v>44</v>
      </c>
      <c r="AN77" t="s">
        <v>45</v>
      </c>
    </row>
    <row r="78" spans="1:40" x14ac:dyDescent="0.2">
      <c r="A78" t="s">
        <v>205</v>
      </c>
      <c r="B78" t="s">
        <v>203</v>
      </c>
      <c r="C78">
        <v>9</v>
      </c>
      <c r="D78">
        <v>550.78002900000001</v>
      </c>
      <c r="E78">
        <v>0</v>
      </c>
      <c r="F78">
        <v>823572.3125</v>
      </c>
      <c r="G78">
        <v>44.374167</v>
      </c>
      <c r="H78">
        <v>-124.96250000000001</v>
      </c>
      <c r="I78" t="s">
        <v>203</v>
      </c>
      <c r="J78">
        <v>5000</v>
      </c>
      <c r="K78" t="s">
        <v>206</v>
      </c>
      <c r="L78">
        <v>556.00099999999998</v>
      </c>
      <c r="M78">
        <v>550.78</v>
      </c>
      <c r="N78">
        <v>44.374139999999997</v>
      </c>
      <c r="O78">
        <v>-124.96256</v>
      </c>
      <c r="P78">
        <v>4.9779999999999998</v>
      </c>
      <c r="Q78">
        <v>4.9775999999999998</v>
      </c>
      <c r="R78">
        <v>3.2982969999999998</v>
      </c>
      <c r="S78">
        <v>3.2991830000000002</v>
      </c>
      <c r="T78">
        <v>34.187399999999997</v>
      </c>
      <c r="U78">
        <v>34.198099999999997</v>
      </c>
      <c r="V78">
        <v>20.619337000000002</v>
      </c>
      <c r="W78">
        <v>317.77582999999998</v>
      </c>
      <c r="X78">
        <v>-4.5999999999999999E-3</v>
      </c>
      <c r="Y78">
        <v>0.17860000000000001</v>
      </c>
      <c r="Z78">
        <v>95.633200000000002</v>
      </c>
      <c r="AA78">
        <v>7.6539999999999999</v>
      </c>
      <c r="AF78">
        <v>2.9924369999999998</v>
      </c>
      <c r="AG78">
        <v>84.438546000000002</v>
      </c>
      <c r="AH78">
        <v>40.736986999999999</v>
      </c>
      <c r="AI78">
        <v>2.3480999999999998E-2</v>
      </c>
      <c r="AJ78">
        <v>2.2723E-2</v>
      </c>
      <c r="AK78">
        <v>34.188718000000001</v>
      </c>
      <c r="AL78" t="s">
        <v>170</v>
      </c>
      <c r="AM78" t="s">
        <v>44</v>
      </c>
      <c r="AN78" t="s">
        <v>45</v>
      </c>
    </row>
    <row r="79" spans="1:40" x14ac:dyDescent="0.2">
      <c r="A79" t="s">
        <v>207</v>
      </c>
      <c r="B79" t="s">
        <v>203</v>
      </c>
      <c r="C79">
        <v>9</v>
      </c>
      <c r="D79">
        <v>500.68099999999998</v>
      </c>
      <c r="E79">
        <v>0</v>
      </c>
      <c r="F79">
        <v>823572.3125</v>
      </c>
      <c r="G79">
        <v>44.374167</v>
      </c>
      <c r="H79">
        <v>-124.96250000000001</v>
      </c>
      <c r="I79" t="s">
        <v>203</v>
      </c>
      <c r="J79">
        <v>5000</v>
      </c>
      <c r="K79" t="s">
        <v>208</v>
      </c>
      <c r="L79">
        <v>505.36599999999999</v>
      </c>
      <c r="M79">
        <v>500.68099999999998</v>
      </c>
      <c r="N79">
        <v>44.374139999999997</v>
      </c>
      <c r="O79">
        <v>-124.96254999999999</v>
      </c>
      <c r="P79">
        <v>5.4558</v>
      </c>
      <c r="Q79">
        <v>5.4551999999999996</v>
      </c>
      <c r="R79">
        <v>3.332732</v>
      </c>
      <c r="S79">
        <v>3.3336250000000001</v>
      </c>
      <c r="T79">
        <v>34.121299999999998</v>
      </c>
      <c r="U79">
        <v>34.131999999999998</v>
      </c>
      <c r="V79">
        <v>34.160128</v>
      </c>
      <c r="W79">
        <v>314.33793400000002</v>
      </c>
      <c r="X79">
        <v>-1.8100000000000002E-2</v>
      </c>
      <c r="Y79">
        <v>0.17649999999999999</v>
      </c>
      <c r="Z79">
        <v>95.683099999999996</v>
      </c>
      <c r="AA79">
        <v>7.6689999999999996</v>
      </c>
      <c r="AB79">
        <v>28.097287999999999</v>
      </c>
      <c r="AC79">
        <v>1.8748000000000001E-2</v>
      </c>
      <c r="AD79">
        <v>0.113951</v>
      </c>
      <c r="AE79">
        <v>1.13913</v>
      </c>
      <c r="AF79">
        <v>2.841183</v>
      </c>
      <c r="AG79">
        <v>75.045323999999994</v>
      </c>
      <c r="AH79">
        <v>39.399653000000001</v>
      </c>
      <c r="AI79">
        <v>1.1513000000000001E-2</v>
      </c>
      <c r="AJ79">
        <v>9.0000000000000002E-6</v>
      </c>
      <c r="AK79">
        <v>34.126376999999998</v>
      </c>
      <c r="AL79" t="s">
        <v>170</v>
      </c>
      <c r="AM79" t="s">
        <v>44</v>
      </c>
      <c r="AN79" t="s">
        <v>45</v>
      </c>
    </row>
    <row r="80" spans="1:40" x14ac:dyDescent="0.2">
      <c r="A80" t="s">
        <v>209</v>
      </c>
      <c r="B80" t="s">
        <v>203</v>
      </c>
      <c r="C80">
        <v>9</v>
      </c>
      <c r="D80">
        <v>351.709991</v>
      </c>
      <c r="E80">
        <v>0</v>
      </c>
      <c r="F80">
        <v>823572.3125</v>
      </c>
      <c r="G80">
        <v>44.374167</v>
      </c>
      <c r="H80">
        <v>-124.96250000000001</v>
      </c>
      <c r="I80" t="s">
        <v>203</v>
      </c>
      <c r="J80">
        <v>5000</v>
      </c>
      <c r="K80" t="s">
        <v>210</v>
      </c>
      <c r="L80">
        <v>354.87200000000001</v>
      </c>
      <c r="M80">
        <v>351.71</v>
      </c>
      <c r="N80">
        <v>44.374119999999998</v>
      </c>
      <c r="O80">
        <v>-124.96257</v>
      </c>
      <c r="P80">
        <v>6.3425000000000002</v>
      </c>
      <c r="Q80">
        <v>6.3418999999999999</v>
      </c>
      <c r="R80">
        <v>3.398981</v>
      </c>
      <c r="S80">
        <v>3.3998879999999998</v>
      </c>
      <c r="T80">
        <v>34.050699999999999</v>
      </c>
      <c r="U80">
        <v>34.061399999999999</v>
      </c>
      <c r="V80">
        <v>55.489553000000001</v>
      </c>
      <c r="W80">
        <v>308.02663999999999</v>
      </c>
      <c r="X80">
        <v>-1.12E-2</v>
      </c>
      <c r="Y80">
        <v>0.1696</v>
      </c>
      <c r="Z80">
        <v>95.847200000000001</v>
      </c>
      <c r="AA80">
        <v>7.7089999999999996</v>
      </c>
      <c r="AB80">
        <v>52.176735000000001</v>
      </c>
      <c r="AC80">
        <v>3.4500999999999997E-2</v>
      </c>
      <c r="AD80">
        <v>0.28410400000000002</v>
      </c>
      <c r="AE80">
        <v>1.1066400000000001</v>
      </c>
      <c r="AF80">
        <v>2.6031219999999999</v>
      </c>
      <c r="AG80">
        <v>59.650998000000001</v>
      </c>
      <c r="AH80">
        <v>36.440460999999999</v>
      </c>
      <c r="AI80">
        <v>5.0421000000000001E-2</v>
      </c>
      <c r="AJ80">
        <v>1.0000000000000001E-5</v>
      </c>
      <c r="AK80">
        <v>34.053471999999999</v>
      </c>
      <c r="AL80" t="s">
        <v>170</v>
      </c>
      <c r="AM80" t="s">
        <v>44</v>
      </c>
      <c r="AN80" t="s">
        <v>45</v>
      </c>
    </row>
    <row r="81" spans="1:40" x14ac:dyDescent="0.2">
      <c r="A81" t="s">
        <v>211</v>
      </c>
      <c r="B81" t="s">
        <v>203</v>
      </c>
      <c r="C81">
        <v>9</v>
      </c>
      <c r="D81">
        <v>400.84799199999998</v>
      </c>
      <c r="E81">
        <v>0</v>
      </c>
      <c r="F81">
        <v>823572.3125</v>
      </c>
      <c r="G81">
        <v>44.374167</v>
      </c>
      <c r="H81">
        <v>-124.96250000000001</v>
      </c>
      <c r="I81" t="s">
        <v>203</v>
      </c>
      <c r="J81">
        <v>5000</v>
      </c>
      <c r="K81" t="s">
        <v>212</v>
      </c>
      <c r="L81">
        <v>404.50099999999998</v>
      </c>
      <c r="M81">
        <v>400.84800000000001</v>
      </c>
      <c r="N81">
        <v>44.374139999999997</v>
      </c>
      <c r="O81">
        <v>-124.96256</v>
      </c>
      <c r="P81">
        <v>5.9763999999999999</v>
      </c>
      <c r="Q81">
        <v>5.976</v>
      </c>
      <c r="R81">
        <v>3.3705250000000002</v>
      </c>
      <c r="S81">
        <v>3.3714590000000002</v>
      </c>
      <c r="T81">
        <v>34.074100000000001</v>
      </c>
      <c r="U81">
        <v>34.085000000000001</v>
      </c>
      <c r="V81">
        <v>47.129275999999997</v>
      </c>
      <c r="W81">
        <v>310.61600299999998</v>
      </c>
      <c r="X81">
        <v>-6.9999999999999999E-4</v>
      </c>
      <c r="Y81">
        <v>0.1153</v>
      </c>
      <c r="Z81">
        <v>97.159700000000001</v>
      </c>
      <c r="AA81">
        <v>7.694</v>
      </c>
      <c r="AC81">
        <v>1.8748000000000001E-2</v>
      </c>
      <c r="AD81">
        <v>0.110489</v>
      </c>
      <c r="AE81">
        <v>1.142857</v>
      </c>
      <c r="AL81" t="s">
        <v>170</v>
      </c>
      <c r="AM81" t="s">
        <v>44</v>
      </c>
      <c r="AN81" t="s">
        <v>45</v>
      </c>
    </row>
    <row r="82" spans="1:40" x14ac:dyDescent="0.2">
      <c r="A82" t="s">
        <v>213</v>
      </c>
      <c r="B82" t="s">
        <v>214</v>
      </c>
      <c r="C82">
        <v>12</v>
      </c>
      <c r="D82">
        <v>575.88800000000003</v>
      </c>
      <c r="E82">
        <v>0</v>
      </c>
      <c r="F82">
        <v>883415.5</v>
      </c>
      <c r="G82">
        <v>44.637230000000002</v>
      </c>
      <c r="H82">
        <v>-124.30585000000001</v>
      </c>
      <c r="I82" t="s">
        <v>214</v>
      </c>
      <c r="J82">
        <v>5000</v>
      </c>
      <c r="K82" t="s">
        <v>215</v>
      </c>
      <c r="L82">
        <v>16.856691999999999</v>
      </c>
      <c r="P82">
        <v>8.7652479999999997</v>
      </c>
      <c r="R82">
        <v>3.4651939999999999</v>
      </c>
      <c r="T82">
        <v>32.630727</v>
      </c>
      <c r="AB82">
        <v>221.43870799999999</v>
      </c>
      <c r="AC82">
        <v>3.50116</v>
      </c>
      <c r="AD82">
        <v>0.500579</v>
      </c>
      <c r="AE82">
        <v>1.8615919999999999</v>
      </c>
      <c r="AK82">
        <v>32.823104999999998</v>
      </c>
      <c r="AL82" t="s">
        <v>216</v>
      </c>
      <c r="AM82" t="s">
        <v>44</v>
      </c>
      <c r="AN82" t="s">
        <v>45</v>
      </c>
    </row>
    <row r="83" spans="1:40" x14ac:dyDescent="0.2">
      <c r="A83" t="s">
        <v>217</v>
      </c>
      <c r="B83" t="s">
        <v>214</v>
      </c>
      <c r="C83">
        <v>12</v>
      </c>
      <c r="D83">
        <v>575.88800000000003</v>
      </c>
      <c r="E83">
        <v>0</v>
      </c>
      <c r="F83">
        <v>883422.375</v>
      </c>
      <c r="G83">
        <v>44.637183</v>
      </c>
      <c r="H83">
        <v>-124.30579400000001</v>
      </c>
      <c r="I83" t="s">
        <v>214</v>
      </c>
      <c r="J83">
        <v>5000</v>
      </c>
      <c r="K83" t="s">
        <v>218</v>
      </c>
      <c r="L83">
        <v>79.227149999999995</v>
      </c>
      <c r="P83">
        <v>7.4343500000000002</v>
      </c>
      <c r="R83">
        <v>3.4762050000000002</v>
      </c>
      <c r="T83">
        <v>33.955227999999998</v>
      </c>
      <c r="AB83">
        <v>61.368478000000003</v>
      </c>
      <c r="AC83">
        <v>0.20851900000000001</v>
      </c>
      <c r="AD83">
        <v>0.93421799999999999</v>
      </c>
      <c r="AE83">
        <v>1.1796960000000001</v>
      </c>
      <c r="AK83">
        <v>33.946119000000003</v>
      </c>
      <c r="AL83" t="s">
        <v>219</v>
      </c>
      <c r="AM83" t="s">
        <v>44</v>
      </c>
      <c r="AN83" t="s">
        <v>45</v>
      </c>
    </row>
    <row r="84" spans="1:40" x14ac:dyDescent="0.2">
      <c r="A84" t="s">
        <v>220</v>
      </c>
      <c r="B84" t="s">
        <v>214</v>
      </c>
      <c r="C84">
        <v>12</v>
      </c>
      <c r="D84">
        <v>575.88800000000003</v>
      </c>
      <c r="E84">
        <v>0</v>
      </c>
      <c r="F84">
        <v>883422.375</v>
      </c>
      <c r="G84">
        <v>44.637183</v>
      </c>
      <c r="H84">
        <v>-124.30579400000001</v>
      </c>
      <c r="I84" t="s">
        <v>214</v>
      </c>
      <c r="J84">
        <v>5000</v>
      </c>
      <c r="K84" t="s">
        <v>218</v>
      </c>
      <c r="L84">
        <v>79.227149999999995</v>
      </c>
      <c r="P84">
        <v>7.4343500000000002</v>
      </c>
      <c r="R84">
        <v>3.4762050000000002</v>
      </c>
      <c r="T84">
        <v>33.955227999999998</v>
      </c>
      <c r="AB84">
        <v>57.035249999999998</v>
      </c>
      <c r="AL84" t="s">
        <v>219</v>
      </c>
      <c r="AM84" t="s">
        <v>44</v>
      </c>
      <c r="AN84" t="s">
        <v>45</v>
      </c>
    </row>
    <row r="85" spans="1:40" x14ac:dyDescent="0.2">
      <c r="A85" t="s">
        <v>221</v>
      </c>
      <c r="B85" t="s">
        <v>214</v>
      </c>
      <c r="C85">
        <v>12</v>
      </c>
      <c r="D85">
        <v>575.88800000000003</v>
      </c>
      <c r="E85">
        <v>0</v>
      </c>
      <c r="F85">
        <v>883429.25</v>
      </c>
      <c r="G85">
        <v>44.637230000000002</v>
      </c>
      <c r="H85">
        <v>-124.30585000000001</v>
      </c>
      <c r="I85" t="s">
        <v>214</v>
      </c>
      <c r="J85">
        <v>5000</v>
      </c>
      <c r="K85" t="s">
        <v>215</v>
      </c>
      <c r="L85">
        <v>16.856691999999999</v>
      </c>
      <c r="P85">
        <v>8.7652479999999997</v>
      </c>
      <c r="R85">
        <v>3.4651939999999999</v>
      </c>
      <c r="T85">
        <v>32.630727</v>
      </c>
      <c r="AB85">
        <v>215.86214799999999</v>
      </c>
      <c r="AL85" t="s">
        <v>216</v>
      </c>
      <c r="AM85" t="s">
        <v>44</v>
      </c>
      <c r="AN85" t="s">
        <v>45</v>
      </c>
    </row>
    <row r="86" spans="1:40" x14ac:dyDescent="0.2">
      <c r="A86" t="s">
        <v>222</v>
      </c>
      <c r="B86" t="s">
        <v>223</v>
      </c>
      <c r="C86">
        <v>10</v>
      </c>
      <c r="D86">
        <v>575.88800000000003</v>
      </c>
      <c r="E86">
        <v>0</v>
      </c>
      <c r="F86">
        <v>950579.875</v>
      </c>
      <c r="G86">
        <v>44.571333000000003</v>
      </c>
      <c r="H86">
        <v>-125.14666699999999</v>
      </c>
      <c r="I86" t="s">
        <v>223</v>
      </c>
      <c r="J86">
        <v>5000</v>
      </c>
      <c r="AL86" t="s">
        <v>224</v>
      </c>
      <c r="AM86" t="s">
        <v>44</v>
      </c>
      <c r="AN86" t="s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N37"/>
  <sheetViews>
    <sheetView tabSelected="1" workbookViewId="0">
      <pane ySplit="1" topLeftCell="A2" activePane="bottomLeft" state="frozen"/>
      <selection pane="bottomLeft" activeCell="M28" sqref="M28"/>
    </sheetView>
  </sheetViews>
  <sheetFormatPr baseColWidth="10" defaultRowHeight="16" x14ac:dyDescent="0.2"/>
  <cols>
    <col min="1" max="1" width="19.5" customWidth="1"/>
    <col min="2" max="2" width="15.83203125" customWidth="1"/>
    <col min="11" max="11" width="15.1640625" customWidth="1"/>
  </cols>
  <sheetData>
    <row r="1" spans="1:4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 x14ac:dyDescent="0.2">
      <c r="A2" t="s">
        <v>198</v>
      </c>
      <c r="B2" t="s">
        <v>172</v>
      </c>
      <c r="C2">
        <v>8</v>
      </c>
      <c r="D2">
        <v>9.6379999999999999</v>
      </c>
      <c r="E2">
        <v>0</v>
      </c>
      <c r="F2">
        <v>823572.3125</v>
      </c>
      <c r="G2">
        <v>44.374167</v>
      </c>
      <c r="H2">
        <v>-124.96250000000001</v>
      </c>
      <c r="I2" t="s">
        <v>172</v>
      </c>
      <c r="J2">
        <v>5000</v>
      </c>
      <c r="K2" t="s">
        <v>199</v>
      </c>
      <c r="L2">
        <v>9.7170000000000005</v>
      </c>
      <c r="M2">
        <v>9.6379999999999999</v>
      </c>
      <c r="N2">
        <v>44.374139999999997</v>
      </c>
      <c r="O2">
        <v>-124.96256</v>
      </c>
      <c r="P2">
        <v>13.1968</v>
      </c>
      <c r="Q2">
        <v>13.2037</v>
      </c>
      <c r="R2">
        <v>3.824894</v>
      </c>
      <c r="S2">
        <v>3.8267009999999999</v>
      </c>
      <c r="T2">
        <v>32.250399999999999</v>
      </c>
      <c r="U2">
        <v>32.261600000000001</v>
      </c>
      <c r="V2">
        <v>300.42959500000001</v>
      </c>
      <c r="W2">
        <v>268.20635399999998</v>
      </c>
      <c r="X2">
        <v>2.9287000000000001</v>
      </c>
      <c r="Y2">
        <v>1.2281</v>
      </c>
      <c r="Z2">
        <v>73.562899999999999</v>
      </c>
      <c r="AA2">
        <v>8.3140000000000001</v>
      </c>
      <c r="AC2">
        <v>4.4994820000000004</v>
      </c>
      <c r="AD2">
        <v>1.0623339999999999</v>
      </c>
      <c r="AE2">
        <v>1.7966800000000001</v>
      </c>
      <c r="AF2">
        <v>0.55060299999999995</v>
      </c>
      <c r="AG2">
        <v>9.8348639999999996</v>
      </c>
      <c r="AH2">
        <v>3.0165109999999999</v>
      </c>
      <c r="AI2">
        <v>5.7751999999999998E-2</v>
      </c>
      <c r="AJ2">
        <v>2.0999999999999999E-5</v>
      </c>
      <c r="AL2" t="s">
        <v>170</v>
      </c>
      <c r="AM2" t="s">
        <v>44</v>
      </c>
      <c r="AN2" t="s">
        <v>45</v>
      </c>
    </row>
    <row r="3" spans="1:40" x14ac:dyDescent="0.2">
      <c r="A3" t="s">
        <v>196</v>
      </c>
      <c r="B3" t="s">
        <v>172</v>
      </c>
      <c r="C3">
        <v>8</v>
      </c>
      <c r="D3">
        <v>20.238001000000001</v>
      </c>
      <c r="E3">
        <v>0</v>
      </c>
      <c r="F3">
        <v>823572.3125</v>
      </c>
      <c r="G3">
        <v>44.374167</v>
      </c>
      <c r="H3">
        <v>-124.96250000000001</v>
      </c>
      <c r="I3" t="s">
        <v>172</v>
      </c>
      <c r="J3">
        <v>5000</v>
      </c>
      <c r="K3" t="s">
        <v>197</v>
      </c>
      <c r="L3">
        <v>20.404</v>
      </c>
      <c r="M3">
        <v>20.238</v>
      </c>
      <c r="N3">
        <v>44.374139999999997</v>
      </c>
      <c r="O3">
        <v>-124.96254999999999</v>
      </c>
      <c r="P3">
        <v>8.9875000000000007</v>
      </c>
      <c r="Q3">
        <v>8.9457000000000004</v>
      </c>
      <c r="R3">
        <v>3.4754130000000001</v>
      </c>
      <c r="S3">
        <v>3.4739640000000001</v>
      </c>
      <c r="T3">
        <v>32.504300000000001</v>
      </c>
      <c r="U3">
        <v>32.5274</v>
      </c>
      <c r="V3">
        <v>228.290943</v>
      </c>
      <c r="W3">
        <v>293.02056800000003</v>
      </c>
      <c r="X3">
        <v>0.87719999999999998</v>
      </c>
      <c r="Y3">
        <v>0.30620000000000003</v>
      </c>
      <c r="Z3">
        <v>92.631600000000006</v>
      </c>
      <c r="AA3">
        <v>8.0429999999999993</v>
      </c>
      <c r="AB3">
        <v>229.984342</v>
      </c>
      <c r="AC3">
        <v>1.331683</v>
      </c>
      <c r="AD3">
        <v>0.41705799999999998</v>
      </c>
      <c r="AE3">
        <v>1.7499180000000001</v>
      </c>
      <c r="AF3">
        <v>1.22861</v>
      </c>
      <c r="AG3">
        <v>10.556331</v>
      </c>
      <c r="AH3">
        <v>11.696032000000001</v>
      </c>
      <c r="AI3">
        <v>8.1352999999999995E-2</v>
      </c>
      <c r="AJ3">
        <v>0.83139399999999997</v>
      </c>
      <c r="AK3">
        <v>32.488844</v>
      </c>
      <c r="AL3" t="s">
        <v>170</v>
      </c>
      <c r="AM3" t="s">
        <v>44</v>
      </c>
      <c r="AN3" t="s">
        <v>45</v>
      </c>
    </row>
    <row r="4" spans="1:40" x14ac:dyDescent="0.2">
      <c r="A4" t="s">
        <v>192</v>
      </c>
      <c r="B4" t="s">
        <v>172</v>
      </c>
      <c r="C4">
        <v>8</v>
      </c>
      <c r="D4">
        <v>40.226002000000001</v>
      </c>
      <c r="E4">
        <v>0</v>
      </c>
      <c r="F4">
        <v>823572.3125</v>
      </c>
      <c r="G4">
        <v>44.374167</v>
      </c>
      <c r="H4">
        <v>-124.96250000000001</v>
      </c>
      <c r="I4" t="s">
        <v>172</v>
      </c>
      <c r="J4">
        <v>5000</v>
      </c>
      <c r="K4" t="s">
        <v>193</v>
      </c>
      <c r="L4">
        <v>40.557000000000002</v>
      </c>
      <c r="M4">
        <v>40.225999999999999</v>
      </c>
      <c r="N4">
        <v>44.374130000000001</v>
      </c>
      <c r="O4">
        <v>-124.96256</v>
      </c>
      <c r="P4">
        <v>8.0474999999999994</v>
      </c>
      <c r="Q4">
        <v>8.0475999999999992</v>
      </c>
      <c r="R4">
        <v>3.43343</v>
      </c>
      <c r="S4">
        <v>3.4349090000000002</v>
      </c>
      <c r="T4">
        <v>32.925199999999997</v>
      </c>
      <c r="U4">
        <v>32.940800000000003</v>
      </c>
      <c r="V4">
        <v>169.47425000000001</v>
      </c>
      <c r="W4">
        <v>298.43554399999999</v>
      </c>
      <c r="X4">
        <v>0.3347</v>
      </c>
      <c r="Y4">
        <v>0.2102</v>
      </c>
      <c r="Z4">
        <v>94.882099999999994</v>
      </c>
      <c r="AA4">
        <v>7.8949999999999996</v>
      </c>
      <c r="AC4">
        <v>0.58762800000000004</v>
      </c>
      <c r="AD4">
        <v>0.86629100000000003</v>
      </c>
      <c r="AE4">
        <v>1.3980159999999999</v>
      </c>
      <c r="AF4">
        <v>1.727757</v>
      </c>
      <c r="AG4">
        <v>20.25459</v>
      </c>
      <c r="AH4">
        <v>21.101773999999999</v>
      </c>
      <c r="AI4">
        <v>0.106505</v>
      </c>
      <c r="AJ4">
        <v>0.29493200000000003</v>
      </c>
      <c r="AL4" t="s">
        <v>170</v>
      </c>
      <c r="AM4" t="s">
        <v>44</v>
      </c>
      <c r="AN4" t="s">
        <v>45</v>
      </c>
    </row>
    <row r="5" spans="1:40" x14ac:dyDescent="0.2">
      <c r="A5" t="s">
        <v>188</v>
      </c>
      <c r="B5" t="s">
        <v>172</v>
      </c>
      <c r="C5">
        <v>8</v>
      </c>
      <c r="D5">
        <v>60.422001000000002</v>
      </c>
      <c r="E5">
        <v>0</v>
      </c>
      <c r="F5">
        <v>823572.3125</v>
      </c>
      <c r="G5">
        <v>44.374167</v>
      </c>
      <c r="H5">
        <v>-124.96250000000001</v>
      </c>
      <c r="I5" t="s">
        <v>172</v>
      </c>
      <c r="J5">
        <v>5000</v>
      </c>
      <c r="K5" t="s">
        <v>189</v>
      </c>
      <c r="L5">
        <v>60.921999999999997</v>
      </c>
      <c r="M5">
        <v>60.421999999999997</v>
      </c>
      <c r="N5">
        <v>44.374119999999998</v>
      </c>
      <c r="O5">
        <v>-124.96256</v>
      </c>
      <c r="P5">
        <v>8.4938000000000002</v>
      </c>
      <c r="Q5">
        <v>8.4939</v>
      </c>
      <c r="R5">
        <v>3.5398420000000002</v>
      </c>
      <c r="S5">
        <v>3.5405310000000001</v>
      </c>
      <c r="T5">
        <v>33.621499999999997</v>
      </c>
      <c r="U5">
        <v>33.628599999999999</v>
      </c>
      <c r="V5">
        <v>134.76927499999999</v>
      </c>
      <c r="W5">
        <v>294.12455299999999</v>
      </c>
      <c r="X5">
        <v>1.54E-2</v>
      </c>
      <c r="Y5">
        <v>0.1265</v>
      </c>
      <c r="Z5">
        <v>96.885599999999997</v>
      </c>
      <c r="AA5">
        <v>7.8520000000000003</v>
      </c>
      <c r="AB5">
        <v>126.8884</v>
      </c>
      <c r="AC5">
        <v>9.8426E-2</v>
      </c>
      <c r="AD5">
        <v>0.261015</v>
      </c>
      <c r="AE5">
        <v>1.269663</v>
      </c>
      <c r="AF5">
        <v>1.9019330000000001</v>
      </c>
      <c r="AG5">
        <v>29.150077</v>
      </c>
      <c r="AH5">
        <v>26.163153999999999</v>
      </c>
      <c r="AI5">
        <v>2.8642000000000001E-2</v>
      </c>
      <c r="AJ5">
        <v>1.8E-5</v>
      </c>
      <c r="AK5">
        <v>33.967860000000002</v>
      </c>
      <c r="AL5" t="s">
        <v>170</v>
      </c>
      <c r="AM5" t="s">
        <v>44</v>
      </c>
      <c r="AN5" t="s">
        <v>45</v>
      </c>
    </row>
    <row r="6" spans="1:40" x14ac:dyDescent="0.2">
      <c r="A6" t="s">
        <v>186</v>
      </c>
      <c r="B6" t="s">
        <v>172</v>
      </c>
      <c r="C6">
        <v>8</v>
      </c>
      <c r="D6">
        <v>99.679001</v>
      </c>
      <c r="E6">
        <v>0</v>
      </c>
      <c r="F6">
        <v>823572.3125</v>
      </c>
      <c r="G6">
        <v>44.374167</v>
      </c>
      <c r="H6">
        <v>-124.96250000000001</v>
      </c>
      <c r="I6" t="s">
        <v>172</v>
      </c>
      <c r="J6">
        <v>5000</v>
      </c>
      <c r="K6" t="s">
        <v>187</v>
      </c>
      <c r="L6">
        <v>100.51300000000001</v>
      </c>
      <c r="M6">
        <v>99.679000000000002</v>
      </c>
      <c r="N6">
        <v>44.374119999999998</v>
      </c>
      <c r="O6">
        <v>-124.96256</v>
      </c>
      <c r="P6">
        <v>7.8301999999999996</v>
      </c>
      <c r="Q6">
        <v>7.8422000000000001</v>
      </c>
      <c r="R6">
        <v>3.5086650000000001</v>
      </c>
      <c r="S6">
        <v>3.5105680000000001</v>
      </c>
      <c r="T6">
        <v>33.909300000000002</v>
      </c>
      <c r="U6">
        <v>33.918100000000003</v>
      </c>
      <c r="V6">
        <v>101.131664</v>
      </c>
      <c r="W6">
        <v>297.98403500000001</v>
      </c>
      <c r="X6">
        <v>-2.5000000000000001E-2</v>
      </c>
      <c r="Y6">
        <v>0.1484</v>
      </c>
      <c r="Z6">
        <v>96.358099999999993</v>
      </c>
      <c r="AA6">
        <v>7.7859999999999996</v>
      </c>
      <c r="AC6">
        <v>4.2769000000000001E-2</v>
      </c>
      <c r="AD6">
        <v>0.197243</v>
      </c>
      <c r="AE6">
        <v>1.175481</v>
      </c>
      <c r="AF6">
        <v>2.164253</v>
      </c>
      <c r="AG6">
        <v>39.749232999999997</v>
      </c>
      <c r="AH6">
        <v>30.881086</v>
      </c>
      <c r="AI6">
        <v>-4.4060000000000002E-3</v>
      </c>
      <c r="AJ6">
        <v>1.7E-5</v>
      </c>
      <c r="AK6">
        <v>33.908127</v>
      </c>
      <c r="AL6" t="s">
        <v>170</v>
      </c>
      <c r="AM6" t="s">
        <v>44</v>
      </c>
      <c r="AN6" t="s">
        <v>45</v>
      </c>
    </row>
    <row r="7" spans="1:40" x14ac:dyDescent="0.2">
      <c r="A7" t="s">
        <v>171</v>
      </c>
      <c r="B7" t="s">
        <v>172</v>
      </c>
      <c r="C7">
        <v>8</v>
      </c>
      <c r="D7">
        <v>119.89099899999999</v>
      </c>
      <c r="E7">
        <v>0</v>
      </c>
      <c r="F7">
        <v>823572.3125</v>
      </c>
      <c r="G7">
        <v>44.374167</v>
      </c>
      <c r="H7">
        <v>-124.96250000000001</v>
      </c>
      <c r="I7" t="s">
        <v>172</v>
      </c>
      <c r="J7">
        <v>5000</v>
      </c>
      <c r="K7" t="s">
        <v>173</v>
      </c>
      <c r="L7">
        <v>120.901</v>
      </c>
      <c r="M7">
        <v>119.89100000000001</v>
      </c>
      <c r="N7">
        <v>44.374139999999997</v>
      </c>
      <c r="O7">
        <v>-124.96256</v>
      </c>
      <c r="P7">
        <v>7.5980999999999996</v>
      </c>
      <c r="Q7">
        <v>7.6002000000000001</v>
      </c>
      <c r="R7">
        <v>3.491644</v>
      </c>
      <c r="S7">
        <v>3.4927950000000001</v>
      </c>
      <c r="T7">
        <v>33.9422</v>
      </c>
      <c r="U7">
        <v>33.952599999999997</v>
      </c>
      <c r="V7">
        <v>89.899775000000005</v>
      </c>
      <c r="W7">
        <v>299.49040400000001</v>
      </c>
      <c r="X7">
        <v>-1.8599999999999998E-2</v>
      </c>
      <c r="Y7">
        <v>0.16439999999999999</v>
      </c>
      <c r="Z7">
        <v>95.973699999999994</v>
      </c>
      <c r="AA7">
        <v>7.7670000000000003</v>
      </c>
      <c r="AB7">
        <v>88.638074000000003</v>
      </c>
      <c r="AF7">
        <v>2.205603</v>
      </c>
      <c r="AG7">
        <v>40.496670999999999</v>
      </c>
      <c r="AH7">
        <v>31.181773</v>
      </c>
      <c r="AI7">
        <v>3.5729999999999998E-3</v>
      </c>
      <c r="AJ7">
        <v>1.5999999999999999E-5</v>
      </c>
      <c r="AL7" t="s">
        <v>170</v>
      </c>
      <c r="AM7" t="s">
        <v>44</v>
      </c>
      <c r="AN7" t="s">
        <v>45</v>
      </c>
    </row>
    <row r="8" spans="1:40" x14ac:dyDescent="0.2">
      <c r="A8" t="s">
        <v>180</v>
      </c>
      <c r="B8" t="s">
        <v>172</v>
      </c>
      <c r="C8">
        <v>8</v>
      </c>
      <c r="D8">
        <v>140.68400600000001</v>
      </c>
      <c r="E8">
        <v>0</v>
      </c>
      <c r="F8">
        <v>823572.3125</v>
      </c>
      <c r="G8">
        <v>44.374167</v>
      </c>
      <c r="H8">
        <v>-124.96250000000001</v>
      </c>
      <c r="I8" t="s">
        <v>172</v>
      </c>
      <c r="J8">
        <v>5000</v>
      </c>
      <c r="K8" t="s">
        <v>181</v>
      </c>
      <c r="L8">
        <v>141.876</v>
      </c>
      <c r="M8">
        <v>140.684</v>
      </c>
      <c r="N8">
        <v>44.374130000000001</v>
      </c>
      <c r="O8">
        <v>-124.96254</v>
      </c>
      <c r="P8">
        <v>7.4824000000000002</v>
      </c>
      <c r="Q8">
        <v>7.4821</v>
      </c>
      <c r="R8">
        <v>3.4836749999999999</v>
      </c>
      <c r="S8">
        <v>3.4846300000000001</v>
      </c>
      <c r="T8">
        <v>33.9589</v>
      </c>
      <c r="U8">
        <v>33.9696</v>
      </c>
      <c r="V8">
        <v>85.241778999999994</v>
      </c>
      <c r="W8">
        <v>300.24559799999997</v>
      </c>
      <c r="X8">
        <v>-1.8100000000000002E-2</v>
      </c>
      <c r="Y8">
        <v>0.17749999999999999</v>
      </c>
      <c r="Z8">
        <v>95.658699999999996</v>
      </c>
      <c r="AA8">
        <v>7.7539999999999996</v>
      </c>
      <c r="AF8">
        <v>2.2712829999999999</v>
      </c>
      <c r="AG8">
        <v>44.667259000000001</v>
      </c>
      <c r="AH8">
        <v>32.224145999999998</v>
      </c>
      <c r="AI8">
        <v>0</v>
      </c>
      <c r="AJ8">
        <v>1.5E-5</v>
      </c>
      <c r="AL8" t="s">
        <v>170</v>
      </c>
      <c r="AM8" t="s">
        <v>44</v>
      </c>
      <c r="AN8" t="s">
        <v>45</v>
      </c>
    </row>
    <row r="9" spans="1:40" x14ac:dyDescent="0.2">
      <c r="A9" t="s">
        <v>178</v>
      </c>
      <c r="B9" t="s">
        <v>172</v>
      </c>
      <c r="C9">
        <v>8</v>
      </c>
      <c r="D9">
        <v>180.13900799999999</v>
      </c>
      <c r="E9">
        <v>0</v>
      </c>
      <c r="F9">
        <v>823572.3125</v>
      </c>
      <c r="G9">
        <v>44.374167</v>
      </c>
      <c r="H9">
        <v>-124.96250000000001</v>
      </c>
      <c r="I9" t="s">
        <v>172</v>
      </c>
      <c r="J9">
        <v>5000</v>
      </c>
      <c r="K9" t="s">
        <v>179</v>
      </c>
      <c r="L9">
        <v>181.68299999999999</v>
      </c>
      <c r="M9">
        <v>180.13900000000001</v>
      </c>
      <c r="N9">
        <v>44.374119999999998</v>
      </c>
      <c r="O9">
        <v>-124.96256</v>
      </c>
      <c r="P9">
        <v>7.3483000000000001</v>
      </c>
      <c r="Q9">
        <v>7.3482000000000003</v>
      </c>
      <c r="R9">
        <v>3.4744619999999999</v>
      </c>
      <c r="S9">
        <v>3.4754299999999998</v>
      </c>
      <c r="T9">
        <v>33.9711</v>
      </c>
      <c r="U9">
        <v>33.981699999999996</v>
      </c>
      <c r="V9">
        <v>77.957797999999997</v>
      </c>
      <c r="W9">
        <v>301.13968299999999</v>
      </c>
      <c r="X9">
        <v>-1.12E-2</v>
      </c>
      <c r="Y9">
        <v>0.20649999999999999</v>
      </c>
      <c r="Z9">
        <v>94.969499999999996</v>
      </c>
      <c r="AA9">
        <v>7.7439999999999998</v>
      </c>
      <c r="AF9">
        <v>2.3819409999999999</v>
      </c>
      <c r="AG9">
        <v>47.392226000000001</v>
      </c>
      <c r="AH9">
        <v>33.255805000000002</v>
      </c>
      <c r="AI9">
        <v>0</v>
      </c>
      <c r="AJ9">
        <v>1.4E-5</v>
      </c>
      <c r="AK9">
        <v>33.97354</v>
      </c>
      <c r="AL9" t="s">
        <v>170</v>
      </c>
      <c r="AM9" t="s">
        <v>44</v>
      </c>
      <c r="AN9" t="s">
        <v>45</v>
      </c>
    </row>
    <row r="10" spans="1:40" x14ac:dyDescent="0.2">
      <c r="A10" t="s">
        <v>176</v>
      </c>
      <c r="B10" t="s">
        <v>172</v>
      </c>
      <c r="C10">
        <v>8</v>
      </c>
      <c r="D10">
        <v>199.79499799999999</v>
      </c>
      <c r="E10">
        <v>0</v>
      </c>
      <c r="F10">
        <v>823572.3125</v>
      </c>
      <c r="G10">
        <v>44.374167</v>
      </c>
      <c r="H10">
        <v>-124.96250000000001</v>
      </c>
      <c r="I10" t="s">
        <v>172</v>
      </c>
      <c r="J10">
        <v>5000</v>
      </c>
      <c r="K10" t="s">
        <v>177</v>
      </c>
      <c r="L10">
        <v>201.517</v>
      </c>
      <c r="M10">
        <v>199.79499999999999</v>
      </c>
      <c r="N10">
        <v>44.374139999999997</v>
      </c>
      <c r="O10">
        <v>-124.96254999999999</v>
      </c>
      <c r="P10">
        <v>7.3250999999999999</v>
      </c>
      <c r="Q10">
        <v>7.3240999999999996</v>
      </c>
      <c r="R10">
        <v>3.4734880000000001</v>
      </c>
      <c r="S10">
        <v>3.474361</v>
      </c>
      <c r="T10">
        <v>33.973599999999998</v>
      </c>
      <c r="U10">
        <v>33.984200000000001</v>
      </c>
      <c r="V10">
        <v>76.957423000000006</v>
      </c>
      <c r="W10">
        <v>301.29375800000003</v>
      </c>
      <c r="X10">
        <v>-2.1100000000000001E-2</v>
      </c>
      <c r="Y10">
        <v>0.21079999999999999</v>
      </c>
      <c r="Z10">
        <v>94.866299999999995</v>
      </c>
      <c r="AA10">
        <v>7.74</v>
      </c>
      <c r="AF10">
        <v>2.3488169999999999</v>
      </c>
      <c r="AG10">
        <v>48.116205999999998</v>
      </c>
      <c r="AH10">
        <v>33.155071999999997</v>
      </c>
      <c r="AI10">
        <v>0</v>
      </c>
      <c r="AJ10">
        <v>1.2999999999999999E-5</v>
      </c>
      <c r="AL10" t="s">
        <v>170</v>
      </c>
      <c r="AM10" t="s">
        <v>44</v>
      </c>
      <c r="AN10" t="s">
        <v>45</v>
      </c>
    </row>
    <row r="11" spans="1:40" x14ac:dyDescent="0.2">
      <c r="A11" t="s">
        <v>174</v>
      </c>
      <c r="B11" t="s">
        <v>172</v>
      </c>
      <c r="C11">
        <v>8</v>
      </c>
      <c r="D11">
        <v>219.520004</v>
      </c>
      <c r="E11">
        <v>0</v>
      </c>
      <c r="F11">
        <v>823572.3125</v>
      </c>
      <c r="G11">
        <v>44.374167</v>
      </c>
      <c r="H11">
        <v>-124.96250000000001</v>
      </c>
      <c r="I11" t="s">
        <v>172</v>
      </c>
      <c r="J11">
        <v>5000</v>
      </c>
      <c r="K11" t="s">
        <v>175</v>
      </c>
      <c r="L11">
        <v>221.422</v>
      </c>
      <c r="M11">
        <v>219.52</v>
      </c>
      <c r="N11">
        <v>44.374119999999998</v>
      </c>
      <c r="O11">
        <v>-124.96254</v>
      </c>
      <c r="P11">
        <v>7.2796000000000003</v>
      </c>
      <c r="Q11">
        <v>7.2793999999999999</v>
      </c>
      <c r="R11">
        <v>3.470825</v>
      </c>
      <c r="S11">
        <v>3.4717699999999998</v>
      </c>
      <c r="T11">
        <v>33.979799999999997</v>
      </c>
      <c r="U11">
        <v>33.990200000000002</v>
      </c>
      <c r="V11">
        <v>76.470633000000007</v>
      </c>
      <c r="W11">
        <v>301.59521100000001</v>
      </c>
      <c r="X11">
        <v>-2.4199999999999999E-2</v>
      </c>
      <c r="Y11">
        <v>0.21249999999999999</v>
      </c>
      <c r="Z11">
        <v>94.826999999999998</v>
      </c>
      <c r="AA11">
        <v>7.7409999999999997</v>
      </c>
      <c r="AF11">
        <v>2.3672650000000002</v>
      </c>
      <c r="AG11">
        <v>48.132174999999997</v>
      </c>
      <c r="AH11">
        <v>33.274607000000003</v>
      </c>
      <c r="AI11">
        <v>0</v>
      </c>
      <c r="AJ11">
        <v>1.2E-5</v>
      </c>
      <c r="AK11">
        <v>33.981963</v>
      </c>
      <c r="AL11" t="s">
        <v>170</v>
      </c>
      <c r="AM11" t="s">
        <v>44</v>
      </c>
      <c r="AN11" t="s">
        <v>45</v>
      </c>
    </row>
    <row r="20" spans="1:40" x14ac:dyDescent="0.2">
      <c r="A20" t="s">
        <v>194</v>
      </c>
      <c r="B20" t="s">
        <v>172</v>
      </c>
      <c r="C20">
        <v>8</v>
      </c>
      <c r="D20">
        <v>20.266999999999999</v>
      </c>
      <c r="E20">
        <v>0</v>
      </c>
      <c r="F20">
        <v>823572.3125</v>
      </c>
      <c r="G20">
        <v>44.374167</v>
      </c>
      <c r="H20">
        <v>-124.96250000000001</v>
      </c>
      <c r="I20" t="s">
        <v>172</v>
      </c>
      <c r="J20">
        <v>5000</v>
      </c>
      <c r="K20" t="s">
        <v>195</v>
      </c>
      <c r="L20">
        <v>20.433</v>
      </c>
      <c r="M20">
        <v>20.266999999999999</v>
      </c>
      <c r="N20">
        <v>44.374139999999997</v>
      </c>
      <c r="O20">
        <v>-124.96254</v>
      </c>
      <c r="P20">
        <v>8.9102999999999994</v>
      </c>
      <c r="Q20">
        <v>8.9169999999999998</v>
      </c>
      <c r="R20">
        <v>3.4706619999999999</v>
      </c>
      <c r="S20">
        <v>3.4721790000000001</v>
      </c>
      <c r="T20">
        <v>32.525599999999997</v>
      </c>
      <c r="U20">
        <v>32.535200000000003</v>
      </c>
      <c r="V20">
        <v>225.053122</v>
      </c>
      <c r="W20">
        <v>293.48413399999998</v>
      </c>
      <c r="X20">
        <v>0.80600000000000005</v>
      </c>
      <c r="Y20">
        <v>0.2535</v>
      </c>
      <c r="Z20">
        <v>93.859099999999998</v>
      </c>
      <c r="AA20">
        <v>8.0410000000000004</v>
      </c>
      <c r="AB20">
        <v>224.724684</v>
      </c>
      <c r="AL20" t="s">
        <v>170</v>
      </c>
      <c r="AM20" t="s">
        <v>44</v>
      </c>
      <c r="AN20" t="s">
        <v>45</v>
      </c>
    </row>
    <row r="21" spans="1:40" x14ac:dyDescent="0.2">
      <c r="A21" t="s">
        <v>190</v>
      </c>
      <c r="B21" t="s">
        <v>172</v>
      </c>
      <c r="C21">
        <v>8</v>
      </c>
      <c r="D21">
        <v>59.769001000000003</v>
      </c>
      <c r="E21">
        <v>0</v>
      </c>
      <c r="F21">
        <v>823572.3125</v>
      </c>
      <c r="G21">
        <v>44.374167</v>
      </c>
      <c r="H21">
        <v>-124.96250000000001</v>
      </c>
      <c r="I21" t="s">
        <v>172</v>
      </c>
      <c r="J21">
        <v>5000</v>
      </c>
      <c r="K21" t="s">
        <v>191</v>
      </c>
      <c r="L21">
        <v>60.262999999999998</v>
      </c>
      <c r="M21">
        <v>59.768999999999998</v>
      </c>
      <c r="N21">
        <v>44.374139999999997</v>
      </c>
      <c r="O21">
        <v>-124.96254999999999</v>
      </c>
      <c r="P21">
        <v>8.4945000000000004</v>
      </c>
      <c r="Q21">
        <v>8.4939999999999998</v>
      </c>
      <c r="R21">
        <v>3.5391750000000002</v>
      </c>
      <c r="S21">
        <v>3.5401410000000002</v>
      </c>
      <c r="T21">
        <v>33.614100000000001</v>
      </c>
      <c r="U21">
        <v>33.624699999999997</v>
      </c>
      <c r="V21">
        <v>135.07295999999999</v>
      </c>
      <c r="W21">
        <v>294.13393100000002</v>
      </c>
      <c r="X21">
        <v>3.95E-2</v>
      </c>
      <c r="Y21">
        <v>0.12659999999999999</v>
      </c>
      <c r="Z21">
        <v>96.883099999999999</v>
      </c>
      <c r="AA21">
        <v>7.8520000000000003</v>
      </c>
      <c r="AB21">
        <v>129.050217</v>
      </c>
      <c r="AL21" t="s">
        <v>170</v>
      </c>
      <c r="AM21" t="s">
        <v>44</v>
      </c>
      <c r="AN21" t="s">
        <v>45</v>
      </c>
    </row>
    <row r="22" spans="1:40" x14ac:dyDescent="0.2">
      <c r="A22" t="s">
        <v>200</v>
      </c>
      <c r="B22" t="s">
        <v>172</v>
      </c>
      <c r="C22">
        <v>8</v>
      </c>
      <c r="D22">
        <v>80.252998000000005</v>
      </c>
      <c r="E22">
        <v>0</v>
      </c>
      <c r="F22">
        <v>823572.3125</v>
      </c>
      <c r="G22">
        <v>44.374167</v>
      </c>
      <c r="H22">
        <v>-124.96250000000001</v>
      </c>
      <c r="I22" t="s">
        <v>172</v>
      </c>
      <c r="J22">
        <v>5000</v>
      </c>
      <c r="K22" t="s">
        <v>201</v>
      </c>
      <c r="L22">
        <v>80.921000000000006</v>
      </c>
      <c r="M22">
        <v>80.253</v>
      </c>
      <c r="N22">
        <v>44.374139999999997</v>
      </c>
      <c r="O22">
        <v>-124.96256</v>
      </c>
      <c r="P22">
        <v>8.1942000000000004</v>
      </c>
      <c r="Q22">
        <v>8.1957000000000004</v>
      </c>
      <c r="R22">
        <v>3.5289779999999999</v>
      </c>
      <c r="S22">
        <v>3.5300500000000001</v>
      </c>
      <c r="T22">
        <v>33.783799999999999</v>
      </c>
      <c r="U22">
        <v>33.793799999999997</v>
      </c>
      <c r="V22">
        <v>113.54256700000001</v>
      </c>
      <c r="W22">
        <v>295.79214200000001</v>
      </c>
      <c r="X22">
        <v>-1.17E-2</v>
      </c>
      <c r="Y22">
        <v>0.14019999999999999</v>
      </c>
      <c r="Z22">
        <v>96.555499999999995</v>
      </c>
      <c r="AA22">
        <v>7.8090000000000002</v>
      </c>
      <c r="AC22">
        <v>7.1475999999999998E-2</v>
      </c>
      <c r="AD22">
        <v>0.25392500000000001</v>
      </c>
      <c r="AE22">
        <v>1.2163120000000001</v>
      </c>
      <c r="AL22" t="s">
        <v>170</v>
      </c>
      <c r="AM22" t="s">
        <v>44</v>
      </c>
      <c r="AN22" t="s">
        <v>45</v>
      </c>
    </row>
    <row r="23" spans="1:40" x14ac:dyDescent="0.2">
      <c r="A23" t="s">
        <v>184</v>
      </c>
      <c r="B23" t="s">
        <v>172</v>
      </c>
      <c r="C23">
        <v>8</v>
      </c>
      <c r="D23">
        <v>120.03600299999999</v>
      </c>
      <c r="E23">
        <v>0</v>
      </c>
      <c r="F23">
        <v>823572.3125</v>
      </c>
      <c r="G23">
        <v>44.374167</v>
      </c>
      <c r="H23">
        <v>-124.96250000000001</v>
      </c>
      <c r="I23" t="s">
        <v>172</v>
      </c>
      <c r="J23">
        <v>5000</v>
      </c>
      <c r="K23" t="s">
        <v>185</v>
      </c>
      <c r="L23">
        <v>121.047</v>
      </c>
      <c r="M23">
        <v>120.036</v>
      </c>
      <c r="N23">
        <v>44.374139999999997</v>
      </c>
      <c r="O23">
        <v>-124.96256</v>
      </c>
      <c r="P23">
        <v>7.5964</v>
      </c>
      <c r="Q23">
        <v>7.5967000000000002</v>
      </c>
      <c r="R23">
        <v>3.4915189999999998</v>
      </c>
      <c r="S23">
        <v>3.4925250000000001</v>
      </c>
      <c r="T23">
        <v>33.942500000000003</v>
      </c>
      <c r="U23">
        <v>33.953000000000003</v>
      </c>
      <c r="V23">
        <v>90.100742999999994</v>
      </c>
      <c r="W23">
        <v>299.50156900000002</v>
      </c>
      <c r="X23">
        <v>-1.8100000000000002E-2</v>
      </c>
      <c r="Y23">
        <v>0.16400000000000001</v>
      </c>
      <c r="Z23">
        <v>95.982799999999997</v>
      </c>
      <c r="AA23">
        <v>7.7670000000000003</v>
      </c>
      <c r="AB23">
        <v>84.215007</v>
      </c>
      <c r="AL23" t="s">
        <v>170</v>
      </c>
      <c r="AM23" t="s">
        <v>44</v>
      </c>
      <c r="AN23" t="s">
        <v>45</v>
      </c>
    </row>
    <row r="24" spans="1:40" x14ac:dyDescent="0.2">
      <c r="A24" t="s">
        <v>182</v>
      </c>
      <c r="B24" t="s">
        <v>172</v>
      </c>
      <c r="C24">
        <v>8</v>
      </c>
      <c r="D24">
        <v>140.40299999999999</v>
      </c>
      <c r="E24">
        <v>0</v>
      </c>
      <c r="F24">
        <v>823572.3125</v>
      </c>
      <c r="G24">
        <v>44.374167</v>
      </c>
      <c r="H24">
        <v>-124.96250000000001</v>
      </c>
      <c r="I24" t="s">
        <v>172</v>
      </c>
      <c r="J24">
        <v>5000</v>
      </c>
      <c r="K24" t="s">
        <v>183</v>
      </c>
      <c r="L24">
        <v>141.59200000000001</v>
      </c>
      <c r="M24">
        <v>140.40299999999999</v>
      </c>
      <c r="N24">
        <v>44.374139999999997</v>
      </c>
      <c r="O24">
        <v>-124.96254</v>
      </c>
      <c r="P24">
        <v>7.4721000000000002</v>
      </c>
      <c r="Q24">
        <v>7.4737</v>
      </c>
      <c r="R24">
        <v>3.4828199999999998</v>
      </c>
      <c r="S24">
        <v>3.483943</v>
      </c>
      <c r="T24">
        <v>33.959800000000001</v>
      </c>
      <c r="U24">
        <v>33.970500000000001</v>
      </c>
      <c r="V24">
        <v>85.268574000000001</v>
      </c>
      <c r="W24">
        <v>300.31392699999998</v>
      </c>
      <c r="X24">
        <v>-7.3000000000000001E-3</v>
      </c>
      <c r="Y24">
        <v>0.17780000000000001</v>
      </c>
      <c r="Z24">
        <v>95.650999999999996</v>
      </c>
      <c r="AA24">
        <v>7.7530000000000001</v>
      </c>
      <c r="AK24">
        <v>33.961592000000003</v>
      </c>
      <c r="AL24" t="s">
        <v>170</v>
      </c>
      <c r="AM24" t="s">
        <v>44</v>
      </c>
      <c r="AN24" t="s">
        <v>45</v>
      </c>
    </row>
    <row r="27" spans="1:40" x14ac:dyDescent="0.2">
      <c r="M27" t="s">
        <v>12</v>
      </c>
      <c r="N27" t="s">
        <v>15</v>
      </c>
      <c r="O27" t="s">
        <v>33</v>
      </c>
      <c r="P27" t="s">
        <v>34</v>
      </c>
      <c r="Q27" t="s">
        <v>225</v>
      </c>
    </row>
    <row r="28" spans="1:40" x14ac:dyDescent="0.2">
      <c r="M28">
        <v>9.6379999999999999</v>
      </c>
      <c r="N28">
        <v>13.1968</v>
      </c>
      <c r="O28">
        <v>3.0165109999999999</v>
      </c>
      <c r="P28">
        <v>5.7751999999999998E-2</v>
      </c>
      <c r="Q28">
        <f>O28+P28</f>
        <v>3.0742629999999997</v>
      </c>
    </row>
    <row r="29" spans="1:40" x14ac:dyDescent="0.2">
      <c r="M29">
        <v>20.238</v>
      </c>
      <c r="N29">
        <v>8.9875000000000007</v>
      </c>
      <c r="O29">
        <v>11.696032000000001</v>
      </c>
      <c r="P29">
        <v>8.1352999999999995E-2</v>
      </c>
      <c r="Q29">
        <f t="shared" ref="Q29:Q37" si="0">O29+P29</f>
        <v>11.777385000000001</v>
      </c>
    </row>
    <row r="30" spans="1:40" x14ac:dyDescent="0.2">
      <c r="M30">
        <v>40.225999999999999</v>
      </c>
      <c r="N30">
        <v>8.0474999999999994</v>
      </c>
      <c r="O30">
        <v>21.101773999999999</v>
      </c>
      <c r="P30">
        <v>0.106505</v>
      </c>
      <c r="Q30">
        <f t="shared" si="0"/>
        <v>21.208278999999997</v>
      </c>
    </row>
    <row r="31" spans="1:40" x14ac:dyDescent="0.2">
      <c r="M31">
        <v>60.421999999999997</v>
      </c>
      <c r="N31">
        <v>8.4938000000000002</v>
      </c>
      <c r="O31">
        <v>26.163153999999999</v>
      </c>
      <c r="P31">
        <v>2.8642000000000001E-2</v>
      </c>
      <c r="Q31">
        <f t="shared" si="0"/>
        <v>26.191796</v>
      </c>
    </row>
    <row r="32" spans="1:40" x14ac:dyDescent="0.2">
      <c r="M32">
        <v>99.679000000000002</v>
      </c>
      <c r="N32">
        <v>7.8301999999999996</v>
      </c>
      <c r="O32">
        <v>30.881086</v>
      </c>
      <c r="P32">
        <v>-4.4060000000000002E-3</v>
      </c>
      <c r="Q32">
        <f t="shared" si="0"/>
        <v>30.87668</v>
      </c>
    </row>
    <row r="33" spans="13:17" x14ac:dyDescent="0.2">
      <c r="M33">
        <v>119.89100000000001</v>
      </c>
      <c r="N33">
        <v>7.5980999999999996</v>
      </c>
      <c r="O33">
        <v>31.181773</v>
      </c>
      <c r="P33">
        <v>3.5729999999999998E-3</v>
      </c>
      <c r="Q33">
        <f t="shared" si="0"/>
        <v>31.185345999999999</v>
      </c>
    </row>
    <row r="34" spans="13:17" x14ac:dyDescent="0.2">
      <c r="M34">
        <v>140.684</v>
      </c>
      <c r="N34">
        <v>7.4824000000000002</v>
      </c>
      <c r="O34">
        <v>32.224145999999998</v>
      </c>
      <c r="P34">
        <v>0</v>
      </c>
      <c r="Q34">
        <f t="shared" si="0"/>
        <v>32.224145999999998</v>
      </c>
    </row>
    <row r="35" spans="13:17" x14ac:dyDescent="0.2">
      <c r="M35">
        <v>180.13900000000001</v>
      </c>
      <c r="N35">
        <v>7.3483000000000001</v>
      </c>
      <c r="O35">
        <v>33.255805000000002</v>
      </c>
      <c r="P35">
        <v>0</v>
      </c>
      <c r="Q35">
        <f t="shared" si="0"/>
        <v>33.255805000000002</v>
      </c>
    </row>
    <row r="36" spans="13:17" x14ac:dyDescent="0.2">
      <c r="M36">
        <v>199.79499999999999</v>
      </c>
      <c r="N36">
        <v>7.3250999999999999</v>
      </c>
      <c r="O36">
        <v>33.155071999999997</v>
      </c>
      <c r="P36">
        <v>0</v>
      </c>
      <c r="Q36">
        <f t="shared" si="0"/>
        <v>33.155071999999997</v>
      </c>
    </row>
    <row r="37" spans="13:17" x14ac:dyDescent="0.2">
      <c r="M37">
        <v>219.52</v>
      </c>
      <c r="N37">
        <v>7.2796000000000003</v>
      </c>
      <c r="O37">
        <v>33.274607000000003</v>
      </c>
      <c r="P37">
        <v>0</v>
      </c>
      <c r="Q37">
        <f t="shared" si="0"/>
        <v>33.274607000000003</v>
      </c>
    </row>
  </sheetData>
  <sortState xmlns:xlrd2="http://schemas.microsoft.com/office/spreadsheetml/2017/richdata2" ref="A2:AN13">
    <sortCondition ref="D2:D13"/>
  </sortState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selection activeCell="E1" sqref="E1"/>
    </sheetView>
  </sheetViews>
  <sheetFormatPr baseColWidth="10" defaultRowHeight="16" x14ac:dyDescent="0.2"/>
  <sheetData>
    <row r="1" spans="1:5" x14ac:dyDescent="0.2">
      <c r="A1" t="s">
        <v>12</v>
      </c>
      <c r="B1" t="s">
        <v>15</v>
      </c>
      <c r="C1" t="s">
        <v>33</v>
      </c>
      <c r="D1" t="s">
        <v>34</v>
      </c>
      <c r="E1" t="s">
        <v>225</v>
      </c>
    </row>
    <row r="2" spans="1:5" x14ac:dyDescent="0.2">
      <c r="A2">
        <v>9.6379999999999999</v>
      </c>
      <c r="B2">
        <v>13.1968</v>
      </c>
      <c r="C2">
        <v>3.0165109999999999</v>
      </c>
      <c r="D2">
        <v>5.7751999999999998E-2</v>
      </c>
      <c r="E2">
        <f>C2+D2</f>
        <v>3.0742629999999997</v>
      </c>
    </row>
    <row r="3" spans="1:5" x14ac:dyDescent="0.2">
      <c r="A3">
        <v>20.238</v>
      </c>
      <c r="B3">
        <v>8.9875000000000007</v>
      </c>
      <c r="C3">
        <v>11.696032000000001</v>
      </c>
      <c r="D3">
        <v>8.1352999999999995E-2</v>
      </c>
      <c r="E3">
        <f t="shared" ref="E3:E11" si="0">C3+D3</f>
        <v>11.777385000000001</v>
      </c>
    </row>
    <row r="4" spans="1:5" x14ac:dyDescent="0.2">
      <c r="A4">
        <v>40.225999999999999</v>
      </c>
      <c r="B4">
        <v>8.0474999999999994</v>
      </c>
      <c r="C4">
        <v>21.101773999999999</v>
      </c>
      <c r="D4">
        <v>0.106505</v>
      </c>
      <c r="E4">
        <f t="shared" si="0"/>
        <v>21.208278999999997</v>
      </c>
    </row>
    <row r="5" spans="1:5" x14ac:dyDescent="0.2">
      <c r="A5">
        <v>60.421999999999997</v>
      </c>
      <c r="B5">
        <v>8.4938000000000002</v>
      </c>
      <c r="C5">
        <v>26.163153999999999</v>
      </c>
      <c r="D5">
        <v>2.8642000000000001E-2</v>
      </c>
      <c r="E5">
        <f t="shared" si="0"/>
        <v>26.191796</v>
      </c>
    </row>
    <row r="6" spans="1:5" x14ac:dyDescent="0.2">
      <c r="A6">
        <v>99.679000000000002</v>
      </c>
      <c r="B6">
        <v>7.8301999999999996</v>
      </c>
      <c r="C6">
        <v>30.881086</v>
      </c>
      <c r="D6">
        <v>-4.4060000000000002E-3</v>
      </c>
      <c r="E6">
        <f t="shared" si="0"/>
        <v>30.87668</v>
      </c>
    </row>
    <row r="7" spans="1:5" x14ac:dyDescent="0.2">
      <c r="A7">
        <v>119.89100000000001</v>
      </c>
      <c r="B7">
        <v>7.5980999999999996</v>
      </c>
      <c r="C7">
        <v>31.181773</v>
      </c>
      <c r="D7">
        <v>3.5729999999999998E-3</v>
      </c>
      <c r="E7">
        <f t="shared" si="0"/>
        <v>31.185345999999999</v>
      </c>
    </row>
    <row r="8" spans="1:5" x14ac:dyDescent="0.2">
      <c r="A8">
        <v>140.684</v>
      </c>
      <c r="B8">
        <v>7.4824000000000002</v>
      </c>
      <c r="C8">
        <v>32.224145999999998</v>
      </c>
      <c r="D8">
        <v>0</v>
      </c>
      <c r="E8">
        <f t="shared" si="0"/>
        <v>32.224145999999998</v>
      </c>
    </row>
    <row r="9" spans="1:5" x14ac:dyDescent="0.2">
      <c r="A9">
        <v>180.13900000000001</v>
      </c>
      <c r="B9">
        <v>7.3483000000000001</v>
      </c>
      <c r="C9">
        <v>33.255805000000002</v>
      </c>
      <c r="D9">
        <v>0</v>
      </c>
      <c r="E9">
        <f t="shared" si="0"/>
        <v>33.255805000000002</v>
      </c>
    </row>
    <row r="10" spans="1:5" x14ac:dyDescent="0.2">
      <c r="A10">
        <v>199.79499999999999</v>
      </c>
      <c r="B10">
        <v>7.3250999999999999</v>
      </c>
      <c r="C10">
        <v>33.155071999999997</v>
      </c>
      <c r="D10">
        <v>0</v>
      </c>
      <c r="E10">
        <f t="shared" si="0"/>
        <v>33.155071999999997</v>
      </c>
    </row>
    <row r="11" spans="1:5" x14ac:dyDescent="0.2">
      <c r="A11">
        <v>219.52</v>
      </c>
      <c r="B11">
        <v>7.2796000000000003</v>
      </c>
      <c r="C11">
        <v>33.274607000000003</v>
      </c>
      <c r="D11">
        <v>0</v>
      </c>
      <c r="E11">
        <f t="shared" si="0"/>
        <v>33.274607000000003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f8e4f1f5-b978-5fd9-ad4f-b7f73d2</vt:lpstr>
      <vt:lpstr>Aug 11 data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Walsh, Ian</cp:lastModifiedBy>
  <dcterms:created xsi:type="dcterms:W3CDTF">2022-02-24T17:40:37Z</dcterms:created>
  <dcterms:modified xsi:type="dcterms:W3CDTF">2022-05-06T05:31:51Z</dcterms:modified>
</cp:coreProperties>
</file>